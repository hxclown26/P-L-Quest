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Resumen" sheetId="3" state="visible" r:id="rId3"/>
  </sheets>
  <definedNames>
    <definedName name="_xlnm._FilterDatabase" localSheetId="1" hidden="1">'Datos'!$A$1:$U$31</definedName>
    <definedName name="_xlnm.Print_Titles" localSheetId="1">'Datos'!$1:$1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3864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2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Plantilla de análisis del piloto de P&amp;L Quest</t>
        </is>
      </c>
    </row>
    <row r="2" ht="30" customHeight="1">
      <c r="A2" s="2" t="inlineStr">
        <is>
          <t>1. En la hoja Datos hay una fila por persona (hasta 30). Las celdas amarillas se llenan; las demás se calculan.</t>
        </is>
      </c>
    </row>
    <row r="3" ht="30" customHeight="1">
      <c r="A3" s="2" t="inlineStr">
        <is>
          <t>2. Test antes y después: escribe 1 si acertó la pregunta y 0 si no (el formulario lo entrega como puntaje por pregunta). Elige el grupo: A→B hizo la forma A antes y la B después; B→A al revés.</t>
        </is>
      </c>
    </row>
    <row r="4" ht="30" customHeight="1">
      <c r="A4" s="2" t="inlineStr">
        <is>
          <t>3. Observación: ¿terminó la partida? y en cuántos minutos (el juego los muestra al final, junto al plan: «mm:ss min»). Encuesta: utilidad de 1 a 5 y si una persona de finanzas objetó el P&amp;L en pantalla.</t>
        </is>
      </c>
    </row>
    <row r="5" ht="30" customHeight="1">
      <c r="A5" s="2" t="inlineStr">
        <is>
          <t>4. La hoja Resumen compara antes y después con las metas del protocolo y propone una decisión. Con 12 a 15 personas el resultado es descriptivo, no una prueba estadística.</t>
        </is>
      </c>
    </row>
    <row r="6" ht="30" customHeight="1">
      <c r="A6" s="2" t="inlineStr">
        <is>
          <t>5. Esta plantilla no trae la clave de respuestas. Los datos de las personas no se guardan en el repositorio: usa IDs (P01, P02...) y guarda el archivo completado fuera de él.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11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40" customWidth="1" min="21" max="21"/>
  </cols>
  <sheetData>
    <row r="1" ht="32" customHeight="1">
      <c r="A1" s="3" t="inlineStr">
        <is>
          <t>ID</t>
        </is>
      </c>
      <c r="B1" s="3" t="inlineStr">
        <is>
          <t>Grupo (forma antes→después)</t>
        </is>
      </c>
      <c r="C1" s="3" t="inlineStr">
        <is>
          <t>Antes P1</t>
        </is>
      </c>
      <c r="D1" s="3" t="inlineStr">
        <is>
          <t>Antes P2</t>
        </is>
      </c>
      <c r="E1" s="3" t="inlineStr">
        <is>
          <t>Antes P3</t>
        </is>
      </c>
      <c r="F1" s="3" t="inlineStr">
        <is>
          <t>Antes P4</t>
        </is>
      </c>
      <c r="G1" s="3" t="inlineStr">
        <is>
          <t>Antes P5</t>
        </is>
      </c>
      <c r="H1" s="3" t="inlineStr">
        <is>
          <t>Antes total</t>
        </is>
      </c>
      <c r="I1" s="3" t="inlineStr">
        <is>
          <t>Después P1</t>
        </is>
      </c>
      <c r="J1" s="3" t="inlineStr">
        <is>
          <t>Después P2</t>
        </is>
      </c>
      <c r="K1" s="3" t="inlineStr">
        <is>
          <t>Después P3</t>
        </is>
      </c>
      <c r="L1" s="3" t="inlineStr">
        <is>
          <t>Después P4</t>
        </is>
      </c>
      <c r="M1" s="3" t="inlineStr">
        <is>
          <t>Después P5</t>
        </is>
      </c>
      <c r="N1" s="3" t="inlineStr">
        <is>
          <t>Después total</t>
        </is>
      </c>
      <c r="O1" s="3" t="inlineStr">
        <is>
          <t>Ganancia (aciertos)</t>
        </is>
      </c>
      <c r="P1" s="3" t="inlineStr">
        <is>
          <t>Cambio</t>
        </is>
      </c>
      <c r="Q1" s="3" t="inlineStr">
        <is>
          <t>¿Terminó la partida?</t>
        </is>
      </c>
      <c r="R1" s="3" t="inlineStr">
        <is>
          <t>Minutos de la partida</t>
        </is>
      </c>
      <c r="S1" s="3" t="inlineStr">
        <is>
          <t>Utilidad (1 a 5)</t>
        </is>
      </c>
      <c r="T1" s="3" t="inlineStr">
        <is>
          <t>¿Objeción al P&amp;L?</t>
        </is>
      </c>
      <c r="U1" s="3" t="inlineStr">
        <is>
          <t>Observaciones</t>
        </is>
      </c>
    </row>
    <row r="2">
      <c r="A2" s="4" t="inlineStr">
        <is>
          <t>P01</t>
        </is>
      </c>
      <c r="B2" s="5" t="n"/>
      <c r="C2" s="5" t="n"/>
      <c r="D2" s="5" t="n"/>
      <c r="E2" s="5" t="n"/>
      <c r="F2" s="5" t="n"/>
      <c r="G2" s="5" t="n"/>
      <c r="H2" s="4">
        <f>IF(COUNT(C2:G2)=5,SUM(C2:G2),"")</f>
        <v/>
      </c>
      <c r="I2" s="5" t="n"/>
      <c r="J2" s="5" t="n"/>
      <c r="K2" s="5" t="n"/>
      <c r="L2" s="5" t="n"/>
      <c r="M2" s="5" t="n"/>
      <c r="N2" s="4">
        <f>IF(COUNT(I2:M2)=5,SUM(I2:M2),"")</f>
        <v/>
      </c>
      <c r="O2" s="4">
        <f>IF(AND(H2&lt;&gt;"",N2&lt;&gt;""),N2-H2,"")</f>
        <v/>
      </c>
      <c r="P2" s="4">
        <f>IF(O2="","",IF(O2&gt;0,"Mejoró",IF(O2&lt;0,"Empeoró","Igual")))</f>
        <v/>
      </c>
      <c r="Q2" s="5" t="n"/>
      <c r="R2" s="5" t="n"/>
      <c r="S2" s="5" t="n"/>
      <c r="T2" s="5" t="n"/>
      <c r="U2" s="5" t="n"/>
    </row>
    <row r="3">
      <c r="A3" s="4" t="inlineStr">
        <is>
          <t>P02</t>
        </is>
      </c>
      <c r="B3" s="5" t="n"/>
      <c r="C3" s="5" t="n"/>
      <c r="D3" s="5" t="n"/>
      <c r="E3" s="5" t="n"/>
      <c r="F3" s="5" t="n"/>
      <c r="G3" s="5" t="n"/>
      <c r="H3" s="4">
        <f>IF(COUNT(C3:G3)=5,SUM(C3:G3),"")</f>
        <v/>
      </c>
      <c r="I3" s="5" t="n"/>
      <c r="J3" s="5" t="n"/>
      <c r="K3" s="5" t="n"/>
      <c r="L3" s="5" t="n"/>
      <c r="M3" s="5" t="n"/>
      <c r="N3" s="4">
        <f>IF(COUNT(I3:M3)=5,SUM(I3:M3),"")</f>
        <v/>
      </c>
      <c r="O3" s="4">
        <f>IF(AND(H3&lt;&gt;"",N3&lt;&gt;""),N3-H3,"")</f>
        <v/>
      </c>
      <c r="P3" s="4">
        <f>IF(O3="","",IF(O3&gt;0,"Mejoró",IF(O3&lt;0,"Empeoró","Igual")))</f>
        <v/>
      </c>
      <c r="Q3" s="5" t="n"/>
      <c r="R3" s="5" t="n"/>
      <c r="S3" s="5" t="n"/>
      <c r="T3" s="5" t="n"/>
      <c r="U3" s="5" t="n"/>
    </row>
    <row r="4">
      <c r="A4" s="4" t="inlineStr">
        <is>
          <t>P03</t>
        </is>
      </c>
      <c r="B4" s="5" t="n"/>
      <c r="C4" s="5" t="n"/>
      <c r="D4" s="5" t="n"/>
      <c r="E4" s="5" t="n"/>
      <c r="F4" s="5" t="n"/>
      <c r="G4" s="5" t="n"/>
      <c r="H4" s="4">
        <f>IF(COUNT(C4:G4)=5,SUM(C4:G4),"")</f>
        <v/>
      </c>
      <c r="I4" s="5" t="n"/>
      <c r="J4" s="5" t="n"/>
      <c r="K4" s="5" t="n"/>
      <c r="L4" s="5" t="n"/>
      <c r="M4" s="5" t="n"/>
      <c r="N4" s="4">
        <f>IF(COUNT(I4:M4)=5,SUM(I4:M4),"")</f>
        <v/>
      </c>
      <c r="O4" s="4">
        <f>IF(AND(H4&lt;&gt;"",N4&lt;&gt;""),N4-H4,"")</f>
        <v/>
      </c>
      <c r="P4" s="4">
        <f>IF(O4="","",IF(O4&gt;0,"Mejoró",IF(O4&lt;0,"Empeoró","Igual")))</f>
        <v/>
      </c>
      <c r="Q4" s="5" t="n"/>
      <c r="R4" s="5" t="n"/>
      <c r="S4" s="5" t="n"/>
      <c r="T4" s="5" t="n"/>
      <c r="U4" s="5" t="n"/>
    </row>
    <row r="5">
      <c r="A5" s="4" t="inlineStr">
        <is>
          <t>P04</t>
        </is>
      </c>
      <c r="B5" s="5" t="n"/>
      <c r="C5" s="5" t="n"/>
      <c r="D5" s="5" t="n"/>
      <c r="E5" s="5" t="n"/>
      <c r="F5" s="5" t="n"/>
      <c r="G5" s="5" t="n"/>
      <c r="H5" s="4">
        <f>IF(COUNT(C5:G5)=5,SUM(C5:G5),"")</f>
        <v/>
      </c>
      <c r="I5" s="5" t="n"/>
      <c r="J5" s="5" t="n"/>
      <c r="K5" s="5" t="n"/>
      <c r="L5" s="5" t="n"/>
      <c r="M5" s="5" t="n"/>
      <c r="N5" s="4">
        <f>IF(COUNT(I5:M5)=5,SUM(I5:M5),"")</f>
        <v/>
      </c>
      <c r="O5" s="4">
        <f>IF(AND(H5&lt;&gt;"",N5&lt;&gt;""),N5-H5,"")</f>
        <v/>
      </c>
      <c r="P5" s="4">
        <f>IF(O5="","",IF(O5&gt;0,"Mejoró",IF(O5&lt;0,"Empeoró","Igual")))</f>
        <v/>
      </c>
      <c r="Q5" s="5" t="n"/>
      <c r="R5" s="5" t="n"/>
      <c r="S5" s="5" t="n"/>
      <c r="T5" s="5" t="n"/>
      <c r="U5" s="5" t="n"/>
    </row>
    <row r="6">
      <c r="A6" s="4" t="inlineStr">
        <is>
          <t>P05</t>
        </is>
      </c>
      <c r="B6" s="5" t="n"/>
      <c r="C6" s="5" t="n"/>
      <c r="D6" s="5" t="n"/>
      <c r="E6" s="5" t="n"/>
      <c r="F6" s="5" t="n"/>
      <c r="G6" s="5" t="n"/>
      <c r="H6" s="4">
        <f>IF(COUNT(C6:G6)=5,SUM(C6:G6),"")</f>
        <v/>
      </c>
      <c r="I6" s="5" t="n"/>
      <c r="J6" s="5" t="n"/>
      <c r="K6" s="5" t="n"/>
      <c r="L6" s="5" t="n"/>
      <c r="M6" s="5" t="n"/>
      <c r="N6" s="4">
        <f>IF(COUNT(I6:M6)=5,SUM(I6:M6),"")</f>
        <v/>
      </c>
      <c r="O6" s="4">
        <f>IF(AND(H6&lt;&gt;"",N6&lt;&gt;""),N6-H6,"")</f>
        <v/>
      </c>
      <c r="P6" s="4">
        <f>IF(O6="","",IF(O6&gt;0,"Mejoró",IF(O6&lt;0,"Empeoró","Igual")))</f>
        <v/>
      </c>
      <c r="Q6" s="5" t="n"/>
      <c r="R6" s="5" t="n"/>
      <c r="S6" s="5" t="n"/>
      <c r="T6" s="5" t="n"/>
      <c r="U6" s="5" t="n"/>
    </row>
    <row r="7">
      <c r="A7" s="4" t="inlineStr">
        <is>
          <t>P06</t>
        </is>
      </c>
      <c r="B7" s="5" t="n"/>
      <c r="C7" s="5" t="n"/>
      <c r="D7" s="5" t="n"/>
      <c r="E7" s="5" t="n"/>
      <c r="F7" s="5" t="n"/>
      <c r="G7" s="5" t="n"/>
      <c r="H7" s="4">
        <f>IF(COUNT(C7:G7)=5,SUM(C7:G7),"")</f>
        <v/>
      </c>
      <c r="I7" s="5" t="n"/>
      <c r="J7" s="5" t="n"/>
      <c r="K7" s="5" t="n"/>
      <c r="L7" s="5" t="n"/>
      <c r="M7" s="5" t="n"/>
      <c r="N7" s="4">
        <f>IF(COUNT(I7:M7)=5,SUM(I7:M7),"")</f>
        <v/>
      </c>
      <c r="O7" s="4">
        <f>IF(AND(H7&lt;&gt;"",N7&lt;&gt;""),N7-H7,"")</f>
        <v/>
      </c>
      <c r="P7" s="4">
        <f>IF(O7="","",IF(O7&gt;0,"Mejoró",IF(O7&lt;0,"Empeoró","Igual")))</f>
        <v/>
      </c>
      <c r="Q7" s="5" t="n"/>
      <c r="R7" s="5" t="n"/>
      <c r="S7" s="5" t="n"/>
      <c r="T7" s="5" t="n"/>
      <c r="U7" s="5" t="n"/>
    </row>
    <row r="8">
      <c r="A8" s="4" t="inlineStr">
        <is>
          <t>P07</t>
        </is>
      </c>
      <c r="B8" s="5" t="n"/>
      <c r="C8" s="5" t="n"/>
      <c r="D8" s="5" t="n"/>
      <c r="E8" s="5" t="n"/>
      <c r="F8" s="5" t="n"/>
      <c r="G8" s="5" t="n"/>
      <c r="H8" s="4">
        <f>IF(COUNT(C8:G8)=5,SUM(C8:G8),"")</f>
        <v/>
      </c>
      <c r="I8" s="5" t="n"/>
      <c r="J8" s="5" t="n"/>
      <c r="K8" s="5" t="n"/>
      <c r="L8" s="5" t="n"/>
      <c r="M8" s="5" t="n"/>
      <c r="N8" s="4">
        <f>IF(COUNT(I8:M8)=5,SUM(I8:M8),"")</f>
        <v/>
      </c>
      <c r="O8" s="4">
        <f>IF(AND(H8&lt;&gt;"",N8&lt;&gt;""),N8-H8,"")</f>
        <v/>
      </c>
      <c r="P8" s="4">
        <f>IF(O8="","",IF(O8&gt;0,"Mejoró",IF(O8&lt;0,"Empeoró","Igual")))</f>
        <v/>
      </c>
      <c r="Q8" s="5" t="n"/>
      <c r="R8" s="5" t="n"/>
      <c r="S8" s="5" t="n"/>
      <c r="T8" s="5" t="n"/>
      <c r="U8" s="5" t="n"/>
    </row>
    <row r="9">
      <c r="A9" s="4" t="inlineStr">
        <is>
          <t>P08</t>
        </is>
      </c>
      <c r="B9" s="5" t="n"/>
      <c r="C9" s="5" t="n"/>
      <c r="D9" s="5" t="n"/>
      <c r="E9" s="5" t="n"/>
      <c r="F9" s="5" t="n"/>
      <c r="G9" s="5" t="n"/>
      <c r="H9" s="4">
        <f>IF(COUNT(C9:G9)=5,SUM(C9:G9),"")</f>
        <v/>
      </c>
      <c r="I9" s="5" t="n"/>
      <c r="J9" s="5" t="n"/>
      <c r="K9" s="5" t="n"/>
      <c r="L9" s="5" t="n"/>
      <c r="M9" s="5" t="n"/>
      <c r="N9" s="4">
        <f>IF(COUNT(I9:M9)=5,SUM(I9:M9),"")</f>
        <v/>
      </c>
      <c r="O9" s="4">
        <f>IF(AND(H9&lt;&gt;"",N9&lt;&gt;""),N9-H9,"")</f>
        <v/>
      </c>
      <c r="P9" s="4">
        <f>IF(O9="","",IF(O9&gt;0,"Mejoró",IF(O9&lt;0,"Empeoró","Igual")))</f>
        <v/>
      </c>
      <c r="Q9" s="5" t="n"/>
      <c r="R9" s="5" t="n"/>
      <c r="S9" s="5" t="n"/>
      <c r="T9" s="5" t="n"/>
      <c r="U9" s="5" t="n"/>
    </row>
    <row r="10">
      <c r="A10" s="4" t="inlineStr">
        <is>
          <t>P09</t>
        </is>
      </c>
      <c r="B10" s="5" t="n"/>
      <c r="C10" s="5" t="n"/>
      <c r="D10" s="5" t="n"/>
      <c r="E10" s="5" t="n"/>
      <c r="F10" s="5" t="n"/>
      <c r="G10" s="5" t="n"/>
      <c r="H10" s="4">
        <f>IF(COUNT(C10:G10)=5,SUM(C10:G10),"")</f>
        <v/>
      </c>
      <c r="I10" s="5" t="n"/>
      <c r="J10" s="5" t="n"/>
      <c r="K10" s="5" t="n"/>
      <c r="L10" s="5" t="n"/>
      <c r="M10" s="5" t="n"/>
      <c r="N10" s="4">
        <f>IF(COUNT(I10:M10)=5,SUM(I10:M10),"")</f>
        <v/>
      </c>
      <c r="O10" s="4">
        <f>IF(AND(H10&lt;&gt;"",N10&lt;&gt;""),N10-H10,"")</f>
        <v/>
      </c>
      <c r="P10" s="4">
        <f>IF(O10="","",IF(O10&gt;0,"Mejoró",IF(O10&lt;0,"Empeoró","Igual")))</f>
        <v/>
      </c>
      <c r="Q10" s="5" t="n"/>
      <c r="R10" s="5" t="n"/>
      <c r="S10" s="5" t="n"/>
      <c r="T10" s="5" t="n"/>
      <c r="U10" s="5" t="n"/>
    </row>
    <row r="11">
      <c r="A11" s="4" t="inlineStr">
        <is>
          <t>P10</t>
        </is>
      </c>
      <c r="B11" s="5" t="n"/>
      <c r="C11" s="5" t="n"/>
      <c r="D11" s="5" t="n"/>
      <c r="E11" s="5" t="n"/>
      <c r="F11" s="5" t="n"/>
      <c r="G11" s="5" t="n"/>
      <c r="H11" s="4">
        <f>IF(COUNT(C11:G11)=5,SUM(C11:G11),"")</f>
        <v/>
      </c>
      <c r="I11" s="5" t="n"/>
      <c r="J11" s="5" t="n"/>
      <c r="K11" s="5" t="n"/>
      <c r="L11" s="5" t="n"/>
      <c r="M11" s="5" t="n"/>
      <c r="N11" s="4">
        <f>IF(COUNT(I11:M11)=5,SUM(I11:M11),"")</f>
        <v/>
      </c>
      <c r="O11" s="4">
        <f>IF(AND(H11&lt;&gt;"",N11&lt;&gt;""),N11-H11,"")</f>
        <v/>
      </c>
      <c r="P11" s="4">
        <f>IF(O11="","",IF(O11&gt;0,"Mejoró",IF(O11&lt;0,"Empeoró","Igual")))</f>
        <v/>
      </c>
      <c r="Q11" s="5" t="n"/>
      <c r="R11" s="5" t="n"/>
      <c r="S11" s="5" t="n"/>
      <c r="T11" s="5" t="n"/>
      <c r="U11" s="5" t="n"/>
    </row>
    <row r="12">
      <c r="A12" s="4" t="inlineStr">
        <is>
          <t>P11</t>
        </is>
      </c>
      <c r="B12" s="5" t="n"/>
      <c r="C12" s="5" t="n"/>
      <c r="D12" s="5" t="n"/>
      <c r="E12" s="5" t="n"/>
      <c r="F12" s="5" t="n"/>
      <c r="G12" s="5" t="n"/>
      <c r="H12" s="4">
        <f>IF(COUNT(C12:G12)=5,SUM(C12:G12),"")</f>
        <v/>
      </c>
      <c r="I12" s="5" t="n"/>
      <c r="J12" s="5" t="n"/>
      <c r="K12" s="5" t="n"/>
      <c r="L12" s="5" t="n"/>
      <c r="M12" s="5" t="n"/>
      <c r="N12" s="4">
        <f>IF(COUNT(I12:M12)=5,SUM(I12:M12),"")</f>
        <v/>
      </c>
      <c r="O12" s="4">
        <f>IF(AND(H12&lt;&gt;"",N12&lt;&gt;""),N12-H12,"")</f>
        <v/>
      </c>
      <c r="P12" s="4">
        <f>IF(O12="","",IF(O12&gt;0,"Mejoró",IF(O12&lt;0,"Empeoró","Igual")))</f>
        <v/>
      </c>
      <c r="Q12" s="5" t="n"/>
      <c r="R12" s="5" t="n"/>
      <c r="S12" s="5" t="n"/>
      <c r="T12" s="5" t="n"/>
      <c r="U12" s="5" t="n"/>
    </row>
    <row r="13">
      <c r="A13" s="4" t="inlineStr">
        <is>
          <t>P12</t>
        </is>
      </c>
      <c r="B13" s="5" t="n"/>
      <c r="C13" s="5" t="n"/>
      <c r="D13" s="5" t="n"/>
      <c r="E13" s="5" t="n"/>
      <c r="F13" s="5" t="n"/>
      <c r="G13" s="5" t="n"/>
      <c r="H13" s="4">
        <f>IF(COUNT(C13:G13)=5,SUM(C13:G13),"")</f>
        <v/>
      </c>
      <c r="I13" s="5" t="n"/>
      <c r="J13" s="5" t="n"/>
      <c r="K13" s="5" t="n"/>
      <c r="L13" s="5" t="n"/>
      <c r="M13" s="5" t="n"/>
      <c r="N13" s="4">
        <f>IF(COUNT(I13:M13)=5,SUM(I13:M13),"")</f>
        <v/>
      </c>
      <c r="O13" s="4">
        <f>IF(AND(H13&lt;&gt;"",N13&lt;&gt;""),N13-H13,"")</f>
        <v/>
      </c>
      <c r="P13" s="4">
        <f>IF(O13="","",IF(O13&gt;0,"Mejoró",IF(O13&lt;0,"Empeoró","Igual")))</f>
        <v/>
      </c>
      <c r="Q13" s="5" t="n"/>
      <c r="R13" s="5" t="n"/>
      <c r="S13" s="5" t="n"/>
      <c r="T13" s="5" t="n"/>
      <c r="U13" s="5" t="n"/>
    </row>
    <row r="14">
      <c r="A14" s="4" t="inlineStr">
        <is>
          <t>P13</t>
        </is>
      </c>
      <c r="B14" s="5" t="n"/>
      <c r="C14" s="5" t="n"/>
      <c r="D14" s="5" t="n"/>
      <c r="E14" s="5" t="n"/>
      <c r="F14" s="5" t="n"/>
      <c r="G14" s="5" t="n"/>
      <c r="H14" s="4">
        <f>IF(COUNT(C14:G14)=5,SUM(C14:G14),"")</f>
        <v/>
      </c>
      <c r="I14" s="5" t="n"/>
      <c r="J14" s="5" t="n"/>
      <c r="K14" s="5" t="n"/>
      <c r="L14" s="5" t="n"/>
      <c r="M14" s="5" t="n"/>
      <c r="N14" s="4">
        <f>IF(COUNT(I14:M14)=5,SUM(I14:M14),"")</f>
        <v/>
      </c>
      <c r="O14" s="4">
        <f>IF(AND(H14&lt;&gt;"",N14&lt;&gt;""),N14-H14,"")</f>
        <v/>
      </c>
      <c r="P14" s="4">
        <f>IF(O14="","",IF(O14&gt;0,"Mejoró",IF(O14&lt;0,"Empeoró","Igual")))</f>
        <v/>
      </c>
      <c r="Q14" s="5" t="n"/>
      <c r="R14" s="5" t="n"/>
      <c r="S14" s="5" t="n"/>
      <c r="T14" s="5" t="n"/>
      <c r="U14" s="5" t="n"/>
    </row>
    <row r="15">
      <c r="A15" s="4" t="inlineStr">
        <is>
          <t>P14</t>
        </is>
      </c>
      <c r="B15" s="5" t="n"/>
      <c r="C15" s="5" t="n"/>
      <c r="D15" s="5" t="n"/>
      <c r="E15" s="5" t="n"/>
      <c r="F15" s="5" t="n"/>
      <c r="G15" s="5" t="n"/>
      <c r="H15" s="4">
        <f>IF(COUNT(C15:G15)=5,SUM(C15:G15),"")</f>
        <v/>
      </c>
      <c r="I15" s="5" t="n"/>
      <c r="J15" s="5" t="n"/>
      <c r="K15" s="5" t="n"/>
      <c r="L15" s="5" t="n"/>
      <c r="M15" s="5" t="n"/>
      <c r="N15" s="4">
        <f>IF(COUNT(I15:M15)=5,SUM(I15:M15),"")</f>
        <v/>
      </c>
      <c r="O15" s="4">
        <f>IF(AND(H15&lt;&gt;"",N15&lt;&gt;""),N15-H15,"")</f>
        <v/>
      </c>
      <c r="P15" s="4">
        <f>IF(O15="","",IF(O15&gt;0,"Mejoró",IF(O15&lt;0,"Empeoró","Igual")))</f>
        <v/>
      </c>
      <c r="Q15" s="5" t="n"/>
      <c r="R15" s="5" t="n"/>
      <c r="S15" s="5" t="n"/>
      <c r="T15" s="5" t="n"/>
      <c r="U15" s="5" t="n"/>
    </row>
    <row r="16">
      <c r="A16" s="4" t="inlineStr">
        <is>
          <t>P15</t>
        </is>
      </c>
      <c r="B16" s="5" t="n"/>
      <c r="C16" s="5" t="n"/>
      <c r="D16" s="5" t="n"/>
      <c r="E16" s="5" t="n"/>
      <c r="F16" s="5" t="n"/>
      <c r="G16" s="5" t="n"/>
      <c r="H16" s="4">
        <f>IF(COUNT(C16:G16)=5,SUM(C16:G16),"")</f>
        <v/>
      </c>
      <c r="I16" s="5" t="n"/>
      <c r="J16" s="5" t="n"/>
      <c r="K16" s="5" t="n"/>
      <c r="L16" s="5" t="n"/>
      <c r="M16" s="5" t="n"/>
      <c r="N16" s="4">
        <f>IF(COUNT(I16:M16)=5,SUM(I16:M16),"")</f>
        <v/>
      </c>
      <c r="O16" s="4">
        <f>IF(AND(H16&lt;&gt;"",N16&lt;&gt;""),N16-H16,"")</f>
        <v/>
      </c>
      <c r="P16" s="4">
        <f>IF(O16="","",IF(O16&gt;0,"Mejoró",IF(O16&lt;0,"Empeoró","Igual")))</f>
        <v/>
      </c>
      <c r="Q16" s="5" t="n"/>
      <c r="R16" s="5" t="n"/>
      <c r="S16" s="5" t="n"/>
      <c r="T16" s="5" t="n"/>
      <c r="U16" s="5" t="n"/>
    </row>
    <row r="17">
      <c r="A17" s="4" t="inlineStr">
        <is>
          <t>P16</t>
        </is>
      </c>
      <c r="B17" s="5" t="n"/>
      <c r="C17" s="5" t="n"/>
      <c r="D17" s="5" t="n"/>
      <c r="E17" s="5" t="n"/>
      <c r="F17" s="5" t="n"/>
      <c r="G17" s="5" t="n"/>
      <c r="H17" s="4">
        <f>IF(COUNT(C17:G17)=5,SUM(C17:G17),"")</f>
        <v/>
      </c>
      <c r="I17" s="5" t="n"/>
      <c r="J17" s="5" t="n"/>
      <c r="K17" s="5" t="n"/>
      <c r="L17" s="5" t="n"/>
      <c r="M17" s="5" t="n"/>
      <c r="N17" s="4">
        <f>IF(COUNT(I17:M17)=5,SUM(I17:M17),"")</f>
        <v/>
      </c>
      <c r="O17" s="4">
        <f>IF(AND(H17&lt;&gt;"",N17&lt;&gt;""),N17-H17,"")</f>
        <v/>
      </c>
      <c r="P17" s="4">
        <f>IF(O17="","",IF(O17&gt;0,"Mejoró",IF(O17&lt;0,"Empeoró","Igual")))</f>
        <v/>
      </c>
      <c r="Q17" s="5" t="n"/>
      <c r="R17" s="5" t="n"/>
      <c r="S17" s="5" t="n"/>
      <c r="T17" s="5" t="n"/>
      <c r="U17" s="5" t="n"/>
    </row>
    <row r="18">
      <c r="A18" s="4" t="inlineStr">
        <is>
          <t>P17</t>
        </is>
      </c>
      <c r="B18" s="5" t="n"/>
      <c r="C18" s="5" t="n"/>
      <c r="D18" s="5" t="n"/>
      <c r="E18" s="5" t="n"/>
      <c r="F18" s="5" t="n"/>
      <c r="G18" s="5" t="n"/>
      <c r="H18" s="4">
        <f>IF(COUNT(C18:G18)=5,SUM(C18:G18),"")</f>
        <v/>
      </c>
      <c r="I18" s="5" t="n"/>
      <c r="J18" s="5" t="n"/>
      <c r="K18" s="5" t="n"/>
      <c r="L18" s="5" t="n"/>
      <c r="M18" s="5" t="n"/>
      <c r="N18" s="4">
        <f>IF(COUNT(I18:M18)=5,SUM(I18:M18),"")</f>
        <v/>
      </c>
      <c r="O18" s="4">
        <f>IF(AND(H18&lt;&gt;"",N18&lt;&gt;""),N18-H18,"")</f>
        <v/>
      </c>
      <c r="P18" s="4">
        <f>IF(O18="","",IF(O18&gt;0,"Mejoró",IF(O18&lt;0,"Empeoró","Igual")))</f>
        <v/>
      </c>
      <c r="Q18" s="5" t="n"/>
      <c r="R18" s="5" t="n"/>
      <c r="S18" s="5" t="n"/>
      <c r="T18" s="5" t="n"/>
      <c r="U18" s="5" t="n"/>
    </row>
    <row r="19">
      <c r="A19" s="4" t="inlineStr">
        <is>
          <t>P18</t>
        </is>
      </c>
      <c r="B19" s="5" t="n"/>
      <c r="C19" s="5" t="n"/>
      <c r="D19" s="5" t="n"/>
      <c r="E19" s="5" t="n"/>
      <c r="F19" s="5" t="n"/>
      <c r="G19" s="5" t="n"/>
      <c r="H19" s="4">
        <f>IF(COUNT(C19:G19)=5,SUM(C19:G19),"")</f>
        <v/>
      </c>
      <c r="I19" s="5" t="n"/>
      <c r="J19" s="5" t="n"/>
      <c r="K19" s="5" t="n"/>
      <c r="L19" s="5" t="n"/>
      <c r="M19" s="5" t="n"/>
      <c r="N19" s="4">
        <f>IF(COUNT(I19:M19)=5,SUM(I19:M19),"")</f>
        <v/>
      </c>
      <c r="O19" s="4">
        <f>IF(AND(H19&lt;&gt;"",N19&lt;&gt;""),N19-H19,"")</f>
        <v/>
      </c>
      <c r="P19" s="4">
        <f>IF(O19="","",IF(O19&gt;0,"Mejoró",IF(O19&lt;0,"Empeoró","Igual")))</f>
        <v/>
      </c>
      <c r="Q19" s="5" t="n"/>
      <c r="R19" s="5" t="n"/>
      <c r="S19" s="5" t="n"/>
      <c r="T19" s="5" t="n"/>
      <c r="U19" s="5" t="n"/>
    </row>
    <row r="20">
      <c r="A20" s="4" t="inlineStr">
        <is>
          <t>P19</t>
        </is>
      </c>
      <c r="B20" s="5" t="n"/>
      <c r="C20" s="5" t="n"/>
      <c r="D20" s="5" t="n"/>
      <c r="E20" s="5" t="n"/>
      <c r="F20" s="5" t="n"/>
      <c r="G20" s="5" t="n"/>
      <c r="H20" s="4">
        <f>IF(COUNT(C20:G20)=5,SUM(C20:G20),"")</f>
        <v/>
      </c>
      <c r="I20" s="5" t="n"/>
      <c r="J20" s="5" t="n"/>
      <c r="K20" s="5" t="n"/>
      <c r="L20" s="5" t="n"/>
      <c r="M20" s="5" t="n"/>
      <c r="N20" s="4">
        <f>IF(COUNT(I20:M20)=5,SUM(I20:M20),"")</f>
        <v/>
      </c>
      <c r="O20" s="4">
        <f>IF(AND(H20&lt;&gt;"",N20&lt;&gt;""),N20-H20,"")</f>
        <v/>
      </c>
      <c r="P20" s="4">
        <f>IF(O20="","",IF(O20&gt;0,"Mejoró",IF(O20&lt;0,"Empeoró","Igual")))</f>
        <v/>
      </c>
      <c r="Q20" s="5" t="n"/>
      <c r="R20" s="5" t="n"/>
      <c r="S20" s="5" t="n"/>
      <c r="T20" s="5" t="n"/>
      <c r="U20" s="5" t="n"/>
    </row>
    <row r="21">
      <c r="A21" s="4" t="inlineStr">
        <is>
          <t>P20</t>
        </is>
      </c>
      <c r="B21" s="5" t="n"/>
      <c r="C21" s="5" t="n"/>
      <c r="D21" s="5" t="n"/>
      <c r="E21" s="5" t="n"/>
      <c r="F21" s="5" t="n"/>
      <c r="G21" s="5" t="n"/>
      <c r="H21" s="4">
        <f>IF(COUNT(C21:G21)=5,SUM(C21:G21),"")</f>
        <v/>
      </c>
      <c r="I21" s="5" t="n"/>
      <c r="J21" s="5" t="n"/>
      <c r="K21" s="5" t="n"/>
      <c r="L21" s="5" t="n"/>
      <c r="M21" s="5" t="n"/>
      <c r="N21" s="4">
        <f>IF(COUNT(I21:M21)=5,SUM(I21:M21),"")</f>
        <v/>
      </c>
      <c r="O21" s="4">
        <f>IF(AND(H21&lt;&gt;"",N21&lt;&gt;""),N21-H21,"")</f>
        <v/>
      </c>
      <c r="P21" s="4">
        <f>IF(O21="","",IF(O21&gt;0,"Mejoró",IF(O21&lt;0,"Empeoró","Igual")))</f>
        <v/>
      </c>
      <c r="Q21" s="5" t="n"/>
      <c r="R21" s="5" t="n"/>
      <c r="S21" s="5" t="n"/>
      <c r="T21" s="5" t="n"/>
      <c r="U21" s="5" t="n"/>
    </row>
    <row r="22">
      <c r="A22" s="4" t="inlineStr">
        <is>
          <t>P21</t>
        </is>
      </c>
      <c r="B22" s="5" t="n"/>
      <c r="C22" s="5" t="n"/>
      <c r="D22" s="5" t="n"/>
      <c r="E22" s="5" t="n"/>
      <c r="F22" s="5" t="n"/>
      <c r="G22" s="5" t="n"/>
      <c r="H22" s="4">
        <f>IF(COUNT(C22:G22)=5,SUM(C22:G22),"")</f>
        <v/>
      </c>
      <c r="I22" s="5" t="n"/>
      <c r="J22" s="5" t="n"/>
      <c r="K22" s="5" t="n"/>
      <c r="L22" s="5" t="n"/>
      <c r="M22" s="5" t="n"/>
      <c r="N22" s="4">
        <f>IF(COUNT(I22:M22)=5,SUM(I22:M22),"")</f>
        <v/>
      </c>
      <c r="O22" s="4">
        <f>IF(AND(H22&lt;&gt;"",N22&lt;&gt;""),N22-H22,"")</f>
        <v/>
      </c>
      <c r="P22" s="4">
        <f>IF(O22="","",IF(O22&gt;0,"Mejoró",IF(O22&lt;0,"Empeoró","Igual")))</f>
        <v/>
      </c>
      <c r="Q22" s="5" t="n"/>
      <c r="R22" s="5" t="n"/>
      <c r="S22" s="5" t="n"/>
      <c r="T22" s="5" t="n"/>
      <c r="U22" s="5" t="n"/>
    </row>
    <row r="23">
      <c r="A23" s="4" t="inlineStr">
        <is>
          <t>P22</t>
        </is>
      </c>
      <c r="B23" s="5" t="n"/>
      <c r="C23" s="5" t="n"/>
      <c r="D23" s="5" t="n"/>
      <c r="E23" s="5" t="n"/>
      <c r="F23" s="5" t="n"/>
      <c r="G23" s="5" t="n"/>
      <c r="H23" s="4">
        <f>IF(COUNT(C23:G23)=5,SUM(C23:G23),"")</f>
        <v/>
      </c>
      <c r="I23" s="5" t="n"/>
      <c r="J23" s="5" t="n"/>
      <c r="K23" s="5" t="n"/>
      <c r="L23" s="5" t="n"/>
      <c r="M23" s="5" t="n"/>
      <c r="N23" s="4">
        <f>IF(COUNT(I23:M23)=5,SUM(I23:M23),"")</f>
        <v/>
      </c>
      <c r="O23" s="4">
        <f>IF(AND(H23&lt;&gt;"",N23&lt;&gt;""),N23-H23,"")</f>
        <v/>
      </c>
      <c r="P23" s="4">
        <f>IF(O23="","",IF(O23&gt;0,"Mejoró",IF(O23&lt;0,"Empeoró","Igual")))</f>
        <v/>
      </c>
      <c r="Q23" s="5" t="n"/>
      <c r="R23" s="5" t="n"/>
      <c r="S23" s="5" t="n"/>
      <c r="T23" s="5" t="n"/>
      <c r="U23" s="5" t="n"/>
    </row>
    <row r="24">
      <c r="A24" s="4" t="inlineStr">
        <is>
          <t>P23</t>
        </is>
      </c>
      <c r="B24" s="5" t="n"/>
      <c r="C24" s="5" t="n"/>
      <c r="D24" s="5" t="n"/>
      <c r="E24" s="5" t="n"/>
      <c r="F24" s="5" t="n"/>
      <c r="G24" s="5" t="n"/>
      <c r="H24" s="4">
        <f>IF(COUNT(C24:G24)=5,SUM(C24:G24),"")</f>
        <v/>
      </c>
      <c r="I24" s="5" t="n"/>
      <c r="J24" s="5" t="n"/>
      <c r="K24" s="5" t="n"/>
      <c r="L24" s="5" t="n"/>
      <c r="M24" s="5" t="n"/>
      <c r="N24" s="4">
        <f>IF(COUNT(I24:M24)=5,SUM(I24:M24),"")</f>
        <v/>
      </c>
      <c r="O24" s="4">
        <f>IF(AND(H24&lt;&gt;"",N24&lt;&gt;""),N24-H24,"")</f>
        <v/>
      </c>
      <c r="P24" s="4">
        <f>IF(O24="","",IF(O24&gt;0,"Mejoró",IF(O24&lt;0,"Empeoró","Igual")))</f>
        <v/>
      </c>
      <c r="Q24" s="5" t="n"/>
      <c r="R24" s="5" t="n"/>
      <c r="S24" s="5" t="n"/>
      <c r="T24" s="5" t="n"/>
      <c r="U24" s="5" t="n"/>
    </row>
    <row r="25">
      <c r="A25" s="4" t="inlineStr">
        <is>
          <t>P24</t>
        </is>
      </c>
      <c r="B25" s="5" t="n"/>
      <c r="C25" s="5" t="n"/>
      <c r="D25" s="5" t="n"/>
      <c r="E25" s="5" t="n"/>
      <c r="F25" s="5" t="n"/>
      <c r="G25" s="5" t="n"/>
      <c r="H25" s="4">
        <f>IF(COUNT(C25:G25)=5,SUM(C25:G25),"")</f>
        <v/>
      </c>
      <c r="I25" s="5" t="n"/>
      <c r="J25" s="5" t="n"/>
      <c r="K25" s="5" t="n"/>
      <c r="L25" s="5" t="n"/>
      <c r="M25" s="5" t="n"/>
      <c r="N25" s="4">
        <f>IF(COUNT(I25:M25)=5,SUM(I25:M25),"")</f>
        <v/>
      </c>
      <c r="O25" s="4">
        <f>IF(AND(H25&lt;&gt;"",N25&lt;&gt;""),N25-H25,"")</f>
        <v/>
      </c>
      <c r="P25" s="4">
        <f>IF(O25="","",IF(O25&gt;0,"Mejoró",IF(O25&lt;0,"Empeoró","Igual")))</f>
        <v/>
      </c>
      <c r="Q25" s="5" t="n"/>
      <c r="R25" s="5" t="n"/>
      <c r="S25" s="5" t="n"/>
      <c r="T25" s="5" t="n"/>
      <c r="U25" s="5" t="n"/>
    </row>
    <row r="26">
      <c r="A26" s="4" t="inlineStr">
        <is>
          <t>P25</t>
        </is>
      </c>
      <c r="B26" s="5" t="n"/>
      <c r="C26" s="5" t="n"/>
      <c r="D26" s="5" t="n"/>
      <c r="E26" s="5" t="n"/>
      <c r="F26" s="5" t="n"/>
      <c r="G26" s="5" t="n"/>
      <c r="H26" s="4">
        <f>IF(COUNT(C26:G26)=5,SUM(C26:G26),"")</f>
        <v/>
      </c>
      <c r="I26" s="5" t="n"/>
      <c r="J26" s="5" t="n"/>
      <c r="K26" s="5" t="n"/>
      <c r="L26" s="5" t="n"/>
      <c r="M26" s="5" t="n"/>
      <c r="N26" s="4">
        <f>IF(COUNT(I26:M26)=5,SUM(I26:M26),"")</f>
        <v/>
      </c>
      <c r="O26" s="4">
        <f>IF(AND(H26&lt;&gt;"",N26&lt;&gt;""),N26-H26,"")</f>
        <v/>
      </c>
      <c r="P26" s="4">
        <f>IF(O26="","",IF(O26&gt;0,"Mejoró",IF(O26&lt;0,"Empeoró","Igual")))</f>
        <v/>
      </c>
      <c r="Q26" s="5" t="n"/>
      <c r="R26" s="5" t="n"/>
      <c r="S26" s="5" t="n"/>
      <c r="T26" s="5" t="n"/>
      <c r="U26" s="5" t="n"/>
    </row>
    <row r="27">
      <c r="A27" s="4" t="inlineStr">
        <is>
          <t>P26</t>
        </is>
      </c>
      <c r="B27" s="5" t="n"/>
      <c r="C27" s="5" t="n"/>
      <c r="D27" s="5" t="n"/>
      <c r="E27" s="5" t="n"/>
      <c r="F27" s="5" t="n"/>
      <c r="G27" s="5" t="n"/>
      <c r="H27" s="4">
        <f>IF(COUNT(C27:G27)=5,SUM(C27:G27),"")</f>
        <v/>
      </c>
      <c r="I27" s="5" t="n"/>
      <c r="J27" s="5" t="n"/>
      <c r="K27" s="5" t="n"/>
      <c r="L27" s="5" t="n"/>
      <c r="M27" s="5" t="n"/>
      <c r="N27" s="4">
        <f>IF(COUNT(I27:M27)=5,SUM(I27:M27),"")</f>
        <v/>
      </c>
      <c r="O27" s="4">
        <f>IF(AND(H27&lt;&gt;"",N27&lt;&gt;""),N27-H27,"")</f>
        <v/>
      </c>
      <c r="P27" s="4">
        <f>IF(O27="","",IF(O27&gt;0,"Mejoró",IF(O27&lt;0,"Empeoró","Igual")))</f>
        <v/>
      </c>
      <c r="Q27" s="5" t="n"/>
      <c r="R27" s="5" t="n"/>
      <c r="S27" s="5" t="n"/>
      <c r="T27" s="5" t="n"/>
      <c r="U27" s="5" t="n"/>
    </row>
    <row r="28">
      <c r="A28" s="4" t="inlineStr">
        <is>
          <t>P27</t>
        </is>
      </c>
      <c r="B28" s="5" t="n"/>
      <c r="C28" s="5" t="n"/>
      <c r="D28" s="5" t="n"/>
      <c r="E28" s="5" t="n"/>
      <c r="F28" s="5" t="n"/>
      <c r="G28" s="5" t="n"/>
      <c r="H28" s="4">
        <f>IF(COUNT(C28:G28)=5,SUM(C28:G28),"")</f>
        <v/>
      </c>
      <c r="I28" s="5" t="n"/>
      <c r="J28" s="5" t="n"/>
      <c r="K28" s="5" t="n"/>
      <c r="L28" s="5" t="n"/>
      <c r="M28" s="5" t="n"/>
      <c r="N28" s="4">
        <f>IF(COUNT(I28:M28)=5,SUM(I28:M28),"")</f>
        <v/>
      </c>
      <c r="O28" s="4">
        <f>IF(AND(H28&lt;&gt;"",N28&lt;&gt;""),N28-H28,"")</f>
        <v/>
      </c>
      <c r="P28" s="4">
        <f>IF(O28="","",IF(O28&gt;0,"Mejoró",IF(O28&lt;0,"Empeoró","Igual")))</f>
        <v/>
      </c>
      <c r="Q28" s="5" t="n"/>
      <c r="R28" s="5" t="n"/>
      <c r="S28" s="5" t="n"/>
      <c r="T28" s="5" t="n"/>
      <c r="U28" s="5" t="n"/>
    </row>
    <row r="29">
      <c r="A29" s="4" t="inlineStr">
        <is>
          <t>P28</t>
        </is>
      </c>
      <c r="B29" s="5" t="n"/>
      <c r="C29" s="5" t="n"/>
      <c r="D29" s="5" t="n"/>
      <c r="E29" s="5" t="n"/>
      <c r="F29" s="5" t="n"/>
      <c r="G29" s="5" t="n"/>
      <c r="H29" s="4">
        <f>IF(COUNT(C29:G29)=5,SUM(C29:G29),"")</f>
        <v/>
      </c>
      <c r="I29" s="5" t="n"/>
      <c r="J29" s="5" t="n"/>
      <c r="K29" s="5" t="n"/>
      <c r="L29" s="5" t="n"/>
      <c r="M29" s="5" t="n"/>
      <c r="N29" s="4">
        <f>IF(COUNT(I29:M29)=5,SUM(I29:M29),"")</f>
        <v/>
      </c>
      <c r="O29" s="4">
        <f>IF(AND(H29&lt;&gt;"",N29&lt;&gt;""),N29-H29,"")</f>
        <v/>
      </c>
      <c r="P29" s="4">
        <f>IF(O29="","",IF(O29&gt;0,"Mejoró",IF(O29&lt;0,"Empeoró","Igual")))</f>
        <v/>
      </c>
      <c r="Q29" s="5" t="n"/>
      <c r="R29" s="5" t="n"/>
      <c r="S29" s="5" t="n"/>
      <c r="T29" s="5" t="n"/>
      <c r="U29" s="5" t="n"/>
    </row>
    <row r="30">
      <c r="A30" s="4" t="inlineStr">
        <is>
          <t>P29</t>
        </is>
      </c>
      <c r="B30" s="5" t="n"/>
      <c r="C30" s="5" t="n"/>
      <c r="D30" s="5" t="n"/>
      <c r="E30" s="5" t="n"/>
      <c r="F30" s="5" t="n"/>
      <c r="G30" s="5" t="n"/>
      <c r="H30" s="4">
        <f>IF(COUNT(C30:G30)=5,SUM(C30:G30),"")</f>
        <v/>
      </c>
      <c r="I30" s="5" t="n"/>
      <c r="J30" s="5" t="n"/>
      <c r="K30" s="5" t="n"/>
      <c r="L30" s="5" t="n"/>
      <c r="M30" s="5" t="n"/>
      <c r="N30" s="4">
        <f>IF(COUNT(I30:M30)=5,SUM(I30:M30),"")</f>
        <v/>
      </c>
      <c r="O30" s="4">
        <f>IF(AND(H30&lt;&gt;"",N30&lt;&gt;""),N30-H30,"")</f>
        <v/>
      </c>
      <c r="P30" s="4">
        <f>IF(O30="","",IF(O30&gt;0,"Mejoró",IF(O30&lt;0,"Empeoró","Igual")))</f>
        <v/>
      </c>
      <c r="Q30" s="5" t="n"/>
      <c r="R30" s="5" t="n"/>
      <c r="S30" s="5" t="n"/>
      <c r="T30" s="5" t="n"/>
      <c r="U30" s="5" t="n"/>
    </row>
    <row r="31">
      <c r="A31" s="4" t="inlineStr">
        <is>
          <t>P30</t>
        </is>
      </c>
      <c r="B31" s="5" t="n"/>
      <c r="C31" s="5" t="n"/>
      <c r="D31" s="5" t="n"/>
      <c r="E31" s="5" t="n"/>
      <c r="F31" s="5" t="n"/>
      <c r="G31" s="5" t="n"/>
      <c r="H31" s="4">
        <f>IF(COUNT(C31:G31)=5,SUM(C31:G31),"")</f>
        <v/>
      </c>
      <c r="I31" s="5" t="n"/>
      <c r="J31" s="5" t="n"/>
      <c r="K31" s="5" t="n"/>
      <c r="L31" s="5" t="n"/>
      <c r="M31" s="5" t="n"/>
      <c r="N31" s="4">
        <f>IF(COUNT(I31:M31)=5,SUM(I31:M31),"")</f>
        <v/>
      </c>
      <c r="O31" s="4">
        <f>IF(AND(H31&lt;&gt;"",N31&lt;&gt;""),N31-H31,"")</f>
        <v/>
      </c>
      <c r="P31" s="4">
        <f>IF(O31="","",IF(O31&gt;0,"Mejoró",IF(O31&lt;0,"Empeoró","Igual")))</f>
        <v/>
      </c>
      <c r="Q31" s="5" t="n"/>
      <c r="R31" s="5" t="n"/>
      <c r="S31" s="5" t="n"/>
      <c r="T31" s="5" t="n"/>
      <c r="U31" s="5" t="n"/>
    </row>
  </sheetData>
  <autoFilter ref="A1:U31"/>
  <conditionalFormatting sqref="P2:P31">
    <cfRule type="expression" priority="1" dxfId="0">
      <formula>P2="Empeoró"</formula>
    </cfRule>
  </conditionalFormatting>
  <dataValidations count="6">
    <dataValidation sqref="B2:B31" showDropDown="0" showInputMessage="0" showErrorMessage="0" allowBlank="1" type="list">
      <formula1>"A→B,B→A"</formula1>
    </dataValidation>
    <dataValidation sqref="Q2:Q31" showDropDown="0" showInputMessage="0" showErrorMessage="0" allowBlank="1" type="list">
      <formula1>"Sí,No"</formula1>
    </dataValidation>
    <dataValidation sqref="T2:T31" showDropDown="0" showInputMessage="0" showErrorMessage="0" allowBlank="1" type="list">
      <formula1>"Sí,No"</formula1>
    </dataValidation>
    <dataValidation sqref="C2:C31 D2:D31 E2:E31 F2:F31 G2:G31 I2:I31 J2:J31 K2:K31 L2:L31 M2:M31" showDropDown="0" showInputMessage="0" showErrorMessage="0" allowBlank="1" error="Escribe un número entero de 0 a 1" type="whole" operator="between">
      <formula1>0</formula1>
      <formula2>1</formula2>
    </dataValidation>
    <dataValidation sqref="S2:S31" showDropDown="0" showInputMessage="0" showErrorMessage="0" allowBlank="1" error="Escribe un número entero de 1 a 5" type="whole" operator="between">
      <formula1>1</formula1>
      <formula2>5</formula2>
    </dataValidation>
    <dataValidation sqref="R2:R31" showDropDown="0" showInputMessage="0" showErrorMessage="0" allowBlank="1" error="Escribe un número entero de 0 a 600" type="whole" operator="between">
      <formula1>0</formula1>
      <formula2>600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Resumen del piloto</t>
        </is>
      </c>
    </row>
    <row r="3">
      <c r="A3" s="7" t="inlineStr">
        <is>
          <t>Aprendizaje (test antes y después)</t>
        </is>
      </c>
    </row>
    <row r="4">
      <c r="A4" s="8" t="inlineStr">
        <is>
          <t>Personas con las dos pruebas completas</t>
        </is>
      </c>
      <c r="B4" s="9">
        <f>COUNTIFS(Datos!O2:O31,"&gt;=-5")</f>
        <v/>
      </c>
    </row>
    <row r="5">
      <c r="A5" s="8" t="inlineStr">
        <is>
          <t>Promedio antes (% de aciertos)</t>
        </is>
      </c>
      <c r="B5" s="10">
        <f>IF(B4=0,"",IFERROR(AVERAGEIFS(Datos!H2:H31,Datos!O2:O31,"&gt;=-5"),"")/5)</f>
        <v/>
      </c>
    </row>
    <row r="6">
      <c r="A6" s="8" t="inlineStr">
        <is>
          <t>Promedio después (% de aciertos)</t>
        </is>
      </c>
      <c r="B6" s="10">
        <f>IF(B4=0,"",IFERROR(AVERAGEIFS(Datos!N2:N31,Datos!O2:O31,"&gt;=-5"),"")/5)</f>
        <v/>
      </c>
    </row>
    <row r="7">
      <c r="A7" s="8" t="inlineStr">
        <is>
          <t>Ganancia (puntos porcentuales)</t>
        </is>
      </c>
      <c r="B7" s="11">
        <f>IF(OR(B6="",B5=""),"",(B6-B5)*100)</f>
        <v/>
      </c>
    </row>
    <row r="8">
      <c r="A8" s="8" t="inlineStr">
        <is>
          <t>Meta: +20 puntos porcentuales</t>
        </is>
      </c>
      <c r="B8" s="9">
        <f>IF(B7="","",IF(B7&gt;=20,"Cumple","No cumple"))</f>
        <v/>
      </c>
    </row>
    <row r="9">
      <c r="A9" s="8" t="inlineStr">
        <is>
          <t>Mejoraron / Igual / Empeoraron</t>
        </is>
      </c>
      <c r="B9" s="9">
        <f>COUNTIF(Datos!P2:P31,"Mejoró")</f>
        <v/>
      </c>
      <c r="C9" s="9">
        <f>COUNTIF(Datos!P2:P31,"Igual")</f>
        <v/>
      </c>
      <c r="D9" s="9">
        <f>COUNTIF(Datos!P2:P31,"Empeoró")</f>
        <v/>
      </c>
    </row>
    <row r="10">
      <c r="A10" s="8" t="inlineStr">
        <is>
          <t>Prueba de signos, p bilateral (descriptiva: n es pequeño)</t>
        </is>
      </c>
      <c r="B10" s="12">
        <f>IF(B9+D9=0,"",MIN(1,2*(1-BINOMDIST(MAX(B9,D9)-1,B9+D9,0.5,TRUE))))</f>
        <v/>
      </c>
    </row>
    <row r="12">
      <c r="A12" s="7" t="inlineStr">
        <is>
          <t>Por pregunta (la que menos subió pide revisar el juego o la pregunta)</t>
        </is>
      </c>
    </row>
    <row r="13">
      <c r="B13" s="9" t="inlineStr">
        <is>
          <t>Antes</t>
        </is>
      </c>
      <c r="C13" s="9" t="inlineStr">
        <is>
          <t>Después</t>
        </is>
      </c>
      <c r="D13" s="9" t="inlineStr">
        <is>
          <t>Ganancia (pp)</t>
        </is>
      </c>
    </row>
    <row r="14">
      <c r="A14" s="8" t="inlineStr">
        <is>
          <t>Pregunta 1</t>
        </is>
      </c>
      <c r="B14" s="13">
        <f>IF($B$4=0,"",IFERROR(AVERAGEIFS(Datos!C2:C31,Datos!O2:O31,"&gt;=-5"),""))</f>
        <v/>
      </c>
      <c r="C14" s="13">
        <f>IF($B$4=0,"",IFERROR(AVERAGEIFS(Datos!I2:I31,Datos!O2:O31,"&gt;=-5"),""))</f>
        <v/>
      </c>
      <c r="D14" s="14">
        <f>IF(OR(C14="",B14=""),"",(C14-B14)*100)</f>
        <v/>
      </c>
    </row>
    <row r="15">
      <c r="A15" s="8" t="inlineStr">
        <is>
          <t>Pregunta 2</t>
        </is>
      </c>
      <c r="B15" s="13">
        <f>IF($B$4=0,"",IFERROR(AVERAGEIFS(Datos!D2:D31,Datos!O2:O31,"&gt;=-5"),""))</f>
        <v/>
      </c>
      <c r="C15" s="13">
        <f>IF($B$4=0,"",IFERROR(AVERAGEIFS(Datos!J2:J31,Datos!O2:O31,"&gt;=-5"),""))</f>
        <v/>
      </c>
      <c r="D15" s="14">
        <f>IF(OR(C15="",B15=""),"",(C15-B15)*100)</f>
        <v/>
      </c>
    </row>
    <row r="16">
      <c r="A16" s="8" t="inlineStr">
        <is>
          <t>Pregunta 3</t>
        </is>
      </c>
      <c r="B16" s="13">
        <f>IF($B$4=0,"",IFERROR(AVERAGEIFS(Datos!E2:E31,Datos!O2:O31,"&gt;=-5"),""))</f>
        <v/>
      </c>
      <c r="C16" s="13">
        <f>IF($B$4=0,"",IFERROR(AVERAGEIFS(Datos!K2:K31,Datos!O2:O31,"&gt;=-5"),""))</f>
        <v/>
      </c>
      <c r="D16" s="14">
        <f>IF(OR(C16="",B16=""),"",(C16-B16)*100)</f>
        <v/>
      </c>
    </row>
    <row r="17">
      <c r="A17" s="8" t="inlineStr">
        <is>
          <t>Pregunta 4</t>
        </is>
      </c>
      <c r="B17" s="13">
        <f>IF($B$4=0,"",IFERROR(AVERAGEIFS(Datos!F2:F31,Datos!O2:O31,"&gt;=-5"),""))</f>
        <v/>
      </c>
      <c r="C17" s="13">
        <f>IF($B$4=0,"",IFERROR(AVERAGEIFS(Datos!L2:L31,Datos!O2:O31,"&gt;=-5"),""))</f>
        <v/>
      </c>
      <c r="D17" s="14">
        <f>IF(OR(C17="",B17=""),"",(C17-B17)*100)</f>
        <v/>
      </c>
    </row>
    <row r="18">
      <c r="A18" s="8" t="inlineStr">
        <is>
          <t>Pregunta 5</t>
        </is>
      </c>
      <c r="B18" s="13">
        <f>IF($B$4=0,"",IFERROR(AVERAGEIFS(Datos!G2:G31,Datos!O2:O31,"&gt;=-5"),""))</f>
        <v/>
      </c>
      <c r="C18" s="13">
        <f>IF($B$4=0,"",IFERROR(AVERAGEIFS(Datos!M2:M31,Datos!O2:O31,"&gt;=-5"),""))</f>
        <v/>
      </c>
      <c r="D18" s="14">
        <f>IF(OR(C18="",B18=""),"",(C18-B18)*100)</f>
        <v/>
      </c>
    </row>
    <row r="20">
      <c r="A20" s="7" t="inlineStr">
        <is>
          <t>Por grupo (si los dos difieren mucho, las formas A y B no pesan igual)</t>
        </is>
      </c>
    </row>
    <row r="21">
      <c r="B21" s="9" t="inlineStr">
        <is>
          <t>Personas</t>
        </is>
      </c>
      <c r="C21" s="9" t="inlineStr">
        <is>
          <t>Antes</t>
        </is>
      </c>
      <c r="D21" s="9" t="inlineStr">
        <is>
          <t>Después</t>
        </is>
      </c>
      <c r="E21" s="9" t="inlineStr">
        <is>
          <t>Ganancia (pp)</t>
        </is>
      </c>
    </row>
    <row r="22">
      <c r="A22" s="8" t="inlineStr">
        <is>
          <t>Grupo A→B</t>
        </is>
      </c>
      <c r="B22" s="8">
        <f>COUNTIFS(Datos!O2:O31,"&gt;=-5",Datos!B2:B31,"A→B")</f>
        <v/>
      </c>
      <c r="C22" s="13">
        <f>IF(B22=0,"",IFERROR(AVERAGEIFS(Datos!H2:H31,Datos!O2:O31,"&gt;=-5",Datos!B2:B31,"A→B"),"")/5)</f>
        <v/>
      </c>
      <c r="D22" s="13">
        <f>IF(B22=0,"",IFERROR(AVERAGEIFS(Datos!N2:N31,Datos!O2:O31,"&gt;=-5",Datos!B2:B31,"A→B"),"")/5)</f>
        <v/>
      </c>
      <c r="E22" s="14">
        <f>IF(OR(D22="",C22=""),"",(D22-C22)*100)</f>
        <v/>
      </c>
    </row>
    <row r="23">
      <c r="A23" s="8" t="inlineStr">
        <is>
          <t>Grupo B→A</t>
        </is>
      </c>
      <c r="B23" s="8">
        <f>COUNTIFS(Datos!O2:O31,"&gt;=-5",Datos!B2:B31,"B→A")</f>
        <v/>
      </c>
      <c r="C23" s="13">
        <f>IF(B23=0,"",IFERROR(AVERAGEIFS(Datos!H2:H31,Datos!O2:O31,"&gt;=-5",Datos!B2:B31,"B→A"),"")/5)</f>
        <v/>
      </c>
      <c r="D23" s="13">
        <f>IF(B23=0,"",IFERROR(AVERAGEIFS(Datos!N2:N31,Datos!O2:O31,"&gt;=-5",Datos!B2:B31,"B→A"),"")/5)</f>
        <v/>
      </c>
      <c r="E23" s="14">
        <f>IF(OR(D23="",C23=""),"",(D23-C23)*100)</f>
        <v/>
      </c>
    </row>
    <row r="25">
      <c r="A25" s="7" t="inlineStr">
        <is>
          <t>El juego (observación y encuesta)</t>
        </is>
      </c>
    </row>
    <row r="26">
      <c r="A26" s="8" t="inlineStr">
        <is>
          <t>Personas observadas (marcaron si terminaron la partida)</t>
        </is>
      </c>
      <c r="B26" s="9">
        <f>COUNTIF(Datos!Q2:Q31,"Sí")+COUNTIF(Datos!Q2:Q31,"No")</f>
        <v/>
      </c>
    </row>
    <row r="27">
      <c r="A27" s="8" t="inlineStr">
        <is>
          <t>Terminaron la partida en 30 minutos o menos</t>
        </is>
      </c>
      <c r="B27" s="10">
        <f>IF(B26=0,"",COUNTIFS(Datos!Q2:Q31,"Sí",Datos!R2:R31,"&lt;=30")/B26)</f>
        <v/>
      </c>
    </row>
    <row r="28">
      <c r="A28" s="8" t="inlineStr">
        <is>
          <t>Meta: al menos 80%</t>
        </is>
      </c>
      <c r="B28" s="9">
        <f>IF(B27="","",IF(B27&gt;=0.8,"Cumple","No cumple"))</f>
        <v/>
      </c>
    </row>
    <row r="29">
      <c r="A29" s="8" t="inlineStr">
        <is>
          <t>Utilidad promedio (1 a 5)</t>
        </is>
      </c>
      <c r="B29" s="15">
        <f>IFERROR(AVERAGE(Datos!S2:S31),"")</f>
        <v/>
      </c>
    </row>
    <row r="30">
      <c r="A30" s="8" t="inlineStr">
        <is>
          <t>Meta: al menos 4</t>
        </is>
      </c>
      <c r="B30" s="9">
        <f>IF(B29="","",IF(B29&gt;=4,"Cumple","No cumple"))</f>
        <v/>
      </c>
    </row>
    <row r="31">
      <c r="A31" s="8" t="inlineStr">
        <is>
          <t>Personas de finanzas con objeción al P&amp;L en pantalla</t>
        </is>
      </c>
      <c r="B31" s="9">
        <f>COUNTIF(Datos!T2:T31,"Sí")</f>
        <v/>
      </c>
    </row>
    <row r="32">
      <c r="A32" s="8" t="inlineStr">
        <is>
          <t>Meta: ninguna</t>
        </is>
      </c>
      <c r="B32" s="9">
        <f>IF(B26=0,"",IF(B31=0,"Cumple","No cumple"))</f>
        <v/>
      </c>
    </row>
    <row r="34">
      <c r="A34" s="7" t="inlineStr">
        <is>
          <t>Decisión</t>
        </is>
      </c>
      <c r="B34" s="9">
        <f>IF(OR(B8="",B28="",B30="",B32=""),"Faltan datos",IF(AND(B8="Cumple",B28="Cumple",B30="Cumple",B32="Cumple"),"Evaluar Demo 5","Iterar con lo que mostró el piloto"))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2026-10-02T15:21:19Z</dcterms:created>
  <dcterms:modified xmlns:dcterms="http://purl.org/dc/terms/" xmlns:xsi="http://www.w3.org/2001/XMLSchema-instance" xsi:type="dcterms:W3CDTF">2026-10-02T15:21:19Z</dcterms:modified>
</cp:coreProperties>
</file>