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visión" sheetId="2" state="visible" r:id="rId2"/>
    <sheet xmlns:r="http://schemas.openxmlformats.org/officeDocument/2006/relationships" name="Problemas" sheetId="3" state="visible" r:id="rId3"/>
    <sheet xmlns:r="http://schemas.openxmlformats.org/officeDocument/2006/relationships" name="Resumen" sheetId="4" state="visible" r:id="rId4"/>
  </sheets>
  <definedNames>
    <definedName name="_xlnm._FilterDatabase" localSheetId="1" hidden="1">'Revisión'!$A$1:$O$193</definedName>
    <definedName name="_xlnm.Print_Titles" localSheetId="1">'Revisión'!$1:$1</definedName>
    <definedName name="_xlnm._FilterDatabase" localSheetId="2" hidden="1">'Problemas'!$A$1:$J$49</definedName>
    <definedName name="_xlnm.Print_Titles" localSheetId="2">'Problemas'!$1:$1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P&amp;L Quest: ficha de revisión de dominio</t>
        </is>
      </c>
      <c r="B1" s="2" t="n"/>
    </row>
    <row r="2" ht="27" customHeight="1">
      <c r="A2" s="3" t="inlineStr">
        <is>
          <t>Para qué sirve</t>
        </is>
      </c>
      <c r="B2" s="2" t="inlineStr">
        <is>
          <t>Comprobar que las 48 situaciones del modo Año completo (192 respuestas) suenan reales en el negocio y que cada respuesta mueve la línea correcta del P&amp;L. Los datos del juego son ficticios.</t>
        </is>
      </c>
    </row>
    <row r="3" ht="27" customHeight="1">
      <c r="A3" s="3" t="inlineStr">
        <is>
          <t>Cuánto toma</t>
        </is>
      </c>
      <c r="B3" s="2" t="inlineStr">
        <is>
          <t>Cerca de 1 hora. Lee una fila a la vez: la escena, la respuesta y la línea que el juego dice que mueve.</t>
        </is>
      </c>
    </row>
    <row r="4" ht="54" customHeight="1">
      <c r="A4" s="3" t="inlineStr">
        <is>
          <t>Hoja Revisión</t>
        </is>
      </c>
      <c r="B4" s="2" t="inlineStr">
        <is>
          <t>Una fila por respuesta. Completa las celdas amarillas: ¿Realista? (Sí, No o Ambiguo), Línea correcta (la del P&amp;L que a tu juicio mueve la respuesta; «Fuera del P&amp;L» si es caja, deuda, impuestos u otra cosa) y Comentario (obligatorio si marcas No, Ambiguo o una línea distinta). Las columnas en inglés son para quien revise la traducción.</t>
        </is>
      </c>
    </row>
    <row r="5" ht="27" customHeight="1">
      <c r="A5" s="3" t="inlineStr">
        <is>
          <t>Hoja Problemas</t>
        </is>
      </c>
      <c r="B5" s="2" t="inlineStr">
        <is>
          <t>Una fila por situación. Dime si la escena es realista, si la respuesta equilibrada es de verdad la mejor y si falta una opción mejor.</t>
        </is>
      </c>
    </row>
    <row r="6" ht="13.5" customHeight="1">
      <c r="A6" s="3" t="inlineStr">
        <is>
          <t>Hoja Resumen</t>
        </is>
      </c>
      <c r="B6" s="2" t="inlineStr">
        <is>
          <t>Se calcula sola con lo que completes. No hay que tocarla.</t>
        </is>
      </c>
    </row>
    <row r="7" ht="67.5" customHeight="1">
      <c r="A7" s="3" t="inlineStr">
        <is>
          <t>Las 6 líneas</t>
        </is>
      </c>
      <c r="B7" s="2" t="inlineStr">
        <is>
          <t>Ventas: ventas antes de incentivos. Incentivos: rebates y descuentos a clientes. Costo: costo de ventas (insumos, producción, mantención). Flete: llevar el producto al cliente. Direct Chg: cargos directos al cliente, como el comodato de equipos o las visitas de servicio. SG&amp;A: ventas, generales y administración. Debajo de la línea de SG&amp;A el juego termina en el OI: caja, capital de trabajo, deuda, intereses e impuestos quedan fuera.</t>
        </is>
      </c>
    </row>
    <row r="8" ht="40.5" customHeight="1">
      <c r="A8" s="3" t="inlineStr">
        <is>
          <t>Los 4 tipos de respuesta</t>
        </is>
      </c>
      <c r="B8" s="2" t="inlineStr">
        <is>
          <t>Equilibrada: la que el juego premia (mejora el OI con una contrapartida bien diseñada). Atajo: sube el OI hoy y cobra después. Ceder: cede a la voz en tensión y el OI paga. Pasiva: no hacer nada.</t>
        </is>
      </c>
    </row>
    <row r="9" ht="27" customHeight="1">
      <c r="A9" s="3" t="inlineStr">
        <is>
          <t>Criterio de aprobación</t>
        </is>
      </c>
      <c r="B9" s="2" t="inlineStr">
        <is>
          <t>Al menos 90% de las 192 respuestas marcadas «Sí» en realista y ninguna línea distinta sin resolver. Lo que marques No, Ambiguo o con otra línea se corrige y se vuelve a revisar.</t>
        </is>
      </c>
    </row>
    <row r="10">
      <c r="A10" s="3" t="inlineStr">
        <is>
          <t>Revisor</t>
        </is>
      </c>
      <c r="B10" s="2" t="n"/>
    </row>
    <row r="11">
      <c r="A11" s="3" t="inlineStr">
        <is>
          <t>Nombre</t>
        </is>
      </c>
      <c r="B11" s="4" t="n"/>
    </row>
    <row r="12">
      <c r="A12" s="3" t="inlineStr">
        <is>
          <t>Área (comercial, operaciones, otra)</t>
        </is>
      </c>
      <c r="B12" s="4" t="n"/>
    </row>
    <row r="13">
      <c r="A13" s="3" t="inlineStr">
        <is>
          <t>Fecha</t>
        </is>
      </c>
      <c r="B13" s="4" t="n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38" customWidth="1" min="4" max="4"/>
    <col width="20" customWidth="1" min="5" max="5"/>
    <col width="52" customWidth="1" min="6" max="6"/>
    <col width="14" customWidth="1" min="7" max="7"/>
    <col width="14" customWidth="1" min="8" max="8"/>
    <col width="12" customWidth="1" min="9" max="9"/>
    <col width="14" customWidth="1" min="10" max="10"/>
    <col width="40" customWidth="1" min="11" max="11"/>
    <col width="38" customWidth="1" min="12" max="12"/>
    <col width="20" customWidth="1" min="13" max="13"/>
    <col width="52" customWidth="1" min="14" max="14"/>
    <col width="14" customWidth="1" min="15" max="15"/>
  </cols>
  <sheetData>
    <row r="1" ht="32" customHeight="1">
      <c r="A1" s="5" t="inlineStr">
        <is>
          <t>ID</t>
        </is>
      </c>
      <c r="B1" s="5" t="inlineStr">
        <is>
          <t>Meses</t>
        </is>
      </c>
      <c r="C1" s="5" t="inlineStr">
        <is>
          <t>Voz</t>
        </is>
      </c>
      <c r="D1" s="5" t="inlineStr">
        <is>
          <t>Escena</t>
        </is>
      </c>
      <c r="E1" s="5" t="inlineStr">
        <is>
          <t>Respuesta</t>
        </is>
      </c>
      <c r="F1" s="5" t="inlineStr">
        <is>
          <t>Descripción</t>
        </is>
      </c>
      <c r="G1" s="5" t="inlineStr">
        <is>
          <t>Línea que mueve</t>
        </is>
      </c>
      <c r="H1" s="5" t="inlineStr">
        <is>
          <t>Intención del autor</t>
        </is>
      </c>
      <c r="I1" s="5" t="inlineStr">
        <is>
          <t>¿Realista?</t>
        </is>
      </c>
      <c r="J1" s="5" t="inlineStr">
        <is>
          <t>Línea correcta</t>
        </is>
      </c>
      <c r="K1" s="5" t="inlineStr">
        <is>
          <t>Comentario</t>
        </is>
      </c>
      <c r="L1" s="5" t="inlineStr">
        <is>
          <t>Scene (EN)</t>
        </is>
      </c>
      <c r="M1" s="5" t="inlineStr">
        <is>
          <t>Answer (EN)</t>
        </is>
      </c>
      <c r="N1" s="5" t="inlineStr">
        <is>
          <t>Description (EN)</t>
        </is>
      </c>
      <c r="O1" s="5" t="inlineStr">
        <is>
          <t>¿Traducción correcta?</t>
        </is>
      </c>
    </row>
    <row r="2" ht="40.5" customHeight="1">
      <c r="A2" s="6" t="inlineStr">
        <is>
          <t>m01c</t>
        </is>
      </c>
      <c r="B2" s="6" t="inlineStr">
        <is>
          <t>Cualquiera</t>
        </is>
      </c>
      <c r="C2" s="6" t="inlineStr">
        <is>
          <t>CLIENTE</t>
        </is>
      </c>
      <c r="D2" s="6" t="inlineStr">
        <is>
          <t>La minera, 18% de tus ventas, pide 3% de rebate para renovar el contrato.</t>
        </is>
      </c>
      <c r="E2" s="6" t="inlineStr">
        <is>
          <t>Contrato a 2 años</t>
        </is>
      </c>
      <c r="F2" s="6" t="inlineStr">
        <is>
          <t>Ofreces 1% de rebate y subes a 2% sobre el plan para que firmen 2 años.</t>
        </is>
      </c>
      <c r="G2" s="6" t="inlineStr">
        <is>
          <t>Incentivos</t>
        </is>
      </c>
      <c r="H2" s="6" t="inlineStr">
        <is>
          <t>Equilibrada</t>
        </is>
      </c>
      <c r="I2" s="4" t="n"/>
      <c r="J2" s="4" t="n"/>
      <c r="K2" s="4" t="n"/>
      <c r="L2" s="6" t="inlineStr">
        <is>
          <t>The mine, 18% of your sales, asks for a 3% rebate to renew the contract.</t>
        </is>
      </c>
      <c r="M2" s="6" t="inlineStr">
        <is>
          <t>2-year contract</t>
        </is>
      </c>
      <c r="N2" s="6" t="inlineStr">
        <is>
          <t>You offer a 1% rebate rising to 2% above plan if they sign for 2 years.</t>
        </is>
      </c>
      <c r="O2" s="4" t="n"/>
    </row>
    <row r="3" ht="40.5" customHeight="1">
      <c r="A3" s="6" t="inlineStr">
        <is>
          <t>m01c</t>
        </is>
      </c>
      <c r="B3" s="6" t="inlineStr">
        <is>
          <t>Cualquiera</t>
        </is>
      </c>
      <c r="C3" s="6" t="inlineStr">
        <is>
          <t>CLIENTE</t>
        </is>
      </c>
      <c r="D3" s="6" t="inlineStr">
        <is>
          <t>La minera, 18% de tus ventas, pide 3% de rebate para renovar el contrato.</t>
        </is>
      </c>
      <c r="E3" s="6" t="inlineStr">
        <is>
          <t>Aceptar y compensar</t>
        </is>
      </c>
      <c r="F3" s="6" t="inlineStr">
        <is>
          <t>Aceptas el 3% y compensas con un alza de 2% en sus otros productos.</t>
        </is>
      </c>
      <c r="G3" s="6" t="inlineStr">
        <is>
          <t>Ventas</t>
        </is>
      </c>
      <c r="H3" s="6" t="inlineStr">
        <is>
          <t>Atajo</t>
        </is>
      </c>
      <c r="I3" s="4" t="n"/>
      <c r="J3" s="4" t="n"/>
      <c r="K3" s="4" t="n"/>
      <c r="L3" s="6" t="inlineStr">
        <is>
          <t>The mine, 18% of your sales, asks for a 3% rebate to renew the contract.</t>
        </is>
      </c>
      <c r="M3" s="6" t="inlineStr">
        <is>
          <t>Accept and offset</t>
        </is>
      </c>
      <c r="N3" s="6" t="inlineStr">
        <is>
          <t>You accept the 3% and offset it with a 2% rise on their other products.</t>
        </is>
      </c>
      <c r="O3" s="4" t="n"/>
    </row>
    <row r="4" ht="40.5" customHeight="1">
      <c r="A4" s="6" t="inlineStr">
        <is>
          <t>m01c</t>
        </is>
      </c>
      <c r="B4" s="6" t="inlineStr">
        <is>
          <t>Cualquiera</t>
        </is>
      </c>
      <c r="C4" s="6" t="inlineStr">
        <is>
          <t>CLIENTE</t>
        </is>
      </c>
      <c r="D4" s="6" t="inlineStr">
        <is>
          <t>La minera, 18% de tus ventas, pide 3% de rebate para renovar el contrato.</t>
        </is>
      </c>
      <c r="E4" s="6" t="inlineStr">
        <is>
          <t>Ceder el 3%</t>
        </is>
      </c>
      <c r="F4" s="6" t="inlineStr">
        <is>
          <t>Otorgas el 3% sobre el contrato y cierras la renovación esta semana.</t>
        </is>
      </c>
      <c r="G4" s="6" t="inlineStr">
        <is>
          <t>Incentivos</t>
        </is>
      </c>
      <c r="H4" s="6" t="inlineStr">
        <is>
          <t>Ceder</t>
        </is>
      </c>
      <c r="I4" s="4" t="n"/>
      <c r="J4" s="4" t="n"/>
      <c r="K4" s="4" t="n"/>
      <c r="L4" s="6" t="inlineStr">
        <is>
          <t>The mine, 18% of your sales, asks for a 3% rebate to renew the contract.</t>
        </is>
      </c>
      <c r="M4" s="6" t="inlineStr">
        <is>
          <t>Give the 3%</t>
        </is>
      </c>
      <c r="N4" s="6" t="inlineStr">
        <is>
          <t>You concede the 3% on the contract and seal the renewal on the spot.</t>
        </is>
      </c>
      <c r="O4" s="4" t="n"/>
    </row>
    <row r="5" ht="40.5" customHeight="1">
      <c r="A5" s="6" t="inlineStr">
        <is>
          <t>m01c</t>
        </is>
      </c>
      <c r="B5" s="6" t="inlineStr">
        <is>
          <t>Cualquiera</t>
        </is>
      </c>
      <c r="C5" s="6" t="inlineStr">
        <is>
          <t>CLIENTE</t>
        </is>
      </c>
      <c r="D5" s="6" t="inlineStr">
        <is>
          <t>La minera, 18% de tus ventas, pide 3% de rebate para renovar el contrato.</t>
        </is>
      </c>
      <c r="E5" s="6" t="inlineStr">
        <is>
          <t>Pedir más plazo</t>
        </is>
      </c>
      <c r="F5" s="6" t="inlineStr">
        <is>
          <t>Pides 30 días y estudias el planteo, aunque el contrato vence en 20.</t>
        </is>
      </c>
      <c r="G5" s="6" t="inlineStr">
        <is>
          <t>Ventas</t>
        </is>
      </c>
      <c r="H5" s="6" t="inlineStr">
        <is>
          <t>Pasiva</t>
        </is>
      </c>
      <c r="I5" s="4" t="n"/>
      <c r="J5" s="4" t="n"/>
      <c r="K5" s="4" t="n"/>
      <c r="L5" s="6" t="inlineStr">
        <is>
          <t>The mine, 18% of your sales, asks for a 3% rebate to renew the contract.</t>
        </is>
      </c>
      <c r="M5" s="6" t="inlineStr">
        <is>
          <t>Ask for more time</t>
        </is>
      </c>
      <c r="N5" s="6" t="inlineStr">
        <is>
          <t>You ask a month to study the offer; the contract expires in 20 days.</t>
        </is>
      </c>
      <c r="O5" s="4" t="n"/>
    </row>
    <row r="6" ht="27" customHeight="1">
      <c r="A6" s="6" t="inlineStr">
        <is>
          <t>m01p</t>
        </is>
      </c>
      <c r="B6" s="6" t="inlineStr">
        <is>
          <t>1 a 2</t>
        </is>
      </c>
      <c r="C6" s="6" t="inlineStr">
        <is>
          <t>PLANTA</t>
        </is>
      </c>
      <c r="D6" s="6" t="inlineStr">
        <is>
          <t>Quedan 3 semanas de insumos clave y en enero entran pedidos grandes.</t>
        </is>
      </c>
      <c r="E6" s="6" t="inlineStr">
        <is>
          <t>Compra escalonada</t>
        </is>
      </c>
      <c r="F6" s="6" t="inlineStr">
        <is>
          <t>Compras en 2 lotes, el segundo a 20 días, y avisas qué pedidos son firmes.</t>
        </is>
      </c>
      <c r="G6" s="6" t="inlineStr">
        <is>
          <t>Costo</t>
        </is>
      </c>
      <c r="H6" s="6" t="inlineStr">
        <is>
          <t>Equilibrada</t>
        </is>
      </c>
      <c r="I6" s="4" t="n"/>
      <c r="J6" s="4" t="n"/>
      <c r="K6" s="4" t="n"/>
      <c r="L6" s="6" t="inlineStr">
        <is>
          <t>Key inputs cover 3 weeks and big orders arrive in January.</t>
        </is>
      </c>
      <c r="M6" s="6" t="inlineStr">
        <is>
          <t>Staggered purchase</t>
        </is>
      </c>
      <c r="N6" s="6" t="inlineStr">
        <is>
          <t>You buy in 2 lots, the second 20 days out, and flag which orders are firm.</t>
        </is>
      </c>
      <c r="O6" s="4" t="n"/>
    </row>
    <row r="7" ht="27" customHeight="1">
      <c r="A7" s="6" t="inlineStr">
        <is>
          <t>m01p</t>
        </is>
      </c>
      <c r="B7" s="6" t="inlineStr">
        <is>
          <t>1 a 2</t>
        </is>
      </c>
      <c r="C7" s="6" t="inlineStr">
        <is>
          <t>PLANTA</t>
        </is>
      </c>
      <c r="D7" s="6" t="inlineStr">
        <is>
          <t>Quedan 3 semanas de insumos clave y en enero entran pedidos grandes.</t>
        </is>
      </c>
      <c r="E7" s="6" t="inlineStr">
        <is>
          <t>Producir al límite</t>
        </is>
      </c>
      <c r="F7" s="6" t="inlineStr">
        <is>
          <t>Pides 110% de capacidad a la planta este mes en vez de comprar caro.</t>
        </is>
      </c>
      <c r="G7" s="6" t="inlineStr">
        <is>
          <t>Costo</t>
        </is>
      </c>
      <c r="H7" s="6" t="inlineStr">
        <is>
          <t>Atajo</t>
        </is>
      </c>
      <c r="I7" s="4" t="n"/>
      <c r="J7" s="4" t="n"/>
      <c r="K7" s="4" t="n"/>
      <c r="L7" s="6" t="inlineStr">
        <is>
          <t>Key inputs cover 3 weeks and big orders arrive in January.</t>
        </is>
      </c>
      <c r="M7" s="6" t="inlineStr">
        <is>
          <t>Run at the limit</t>
        </is>
      </c>
      <c r="N7" s="6" t="inlineStr">
        <is>
          <t>You ask the plant for 110% capacity in January instead of buying dear.</t>
        </is>
      </c>
      <c r="O7" s="4" t="n"/>
    </row>
    <row r="8" ht="27" customHeight="1">
      <c r="A8" s="6" t="inlineStr">
        <is>
          <t>m01p</t>
        </is>
      </c>
      <c r="B8" s="6" t="inlineStr">
        <is>
          <t>1 a 2</t>
        </is>
      </c>
      <c r="C8" s="6" t="inlineStr">
        <is>
          <t>PLANTA</t>
        </is>
      </c>
      <c r="D8" s="6" t="inlineStr">
        <is>
          <t>Quedan 3 semanas de insumos clave y en enero entran pedidos grandes.</t>
        </is>
      </c>
      <c r="E8" s="6" t="inlineStr">
        <is>
          <t>Compra masiva</t>
        </is>
      </c>
      <c r="F8" s="6" t="inlineStr">
        <is>
          <t>Compras 3 meses de insumos a precio spot y atiendes cualquier demanda.</t>
        </is>
      </c>
      <c r="G8" s="6" t="inlineStr">
        <is>
          <t>Costo</t>
        </is>
      </c>
      <c r="H8" s="6" t="inlineStr">
        <is>
          <t>Ceder</t>
        </is>
      </c>
      <c r="I8" s="4" t="n"/>
      <c r="J8" s="4" t="n"/>
      <c r="K8" s="4" t="n"/>
      <c r="L8" s="6" t="inlineStr">
        <is>
          <t>Key inputs cover 3 weeks and big orders arrive in January.</t>
        </is>
      </c>
      <c r="M8" s="6" t="inlineStr">
        <is>
          <t>Bulk purchase</t>
        </is>
      </c>
      <c r="N8" s="6" t="inlineStr">
        <is>
          <t>You buy 3 months of inputs at spot price and cover any demand.</t>
        </is>
      </c>
      <c r="O8" s="4" t="n"/>
    </row>
    <row r="9" ht="27" customHeight="1">
      <c r="A9" s="6" t="inlineStr">
        <is>
          <t>m01p</t>
        </is>
      </c>
      <c r="B9" s="6" t="inlineStr">
        <is>
          <t>1 a 2</t>
        </is>
      </c>
      <c r="C9" s="6" t="inlineStr">
        <is>
          <t>PLANTA</t>
        </is>
      </c>
      <c r="D9" s="6" t="inlineStr">
        <is>
          <t>Quedan 3 semanas de insumos clave y en enero entran pedidos grandes.</t>
        </is>
      </c>
      <c r="E9" s="6" t="inlineStr">
        <is>
          <t>Posponer compra</t>
        </is>
      </c>
      <c r="F9" s="6" t="inlineStr">
        <is>
          <t>Pospones la compra a la revisión de inventario de fin de ciclo.</t>
        </is>
      </c>
      <c r="G9" s="6" t="inlineStr">
        <is>
          <t>Costo</t>
        </is>
      </c>
      <c r="H9" s="6" t="inlineStr">
        <is>
          <t>Pasiva</t>
        </is>
      </c>
      <c r="I9" s="4" t="n"/>
      <c r="J9" s="4" t="n"/>
      <c r="K9" s="4" t="n"/>
      <c r="L9" s="6" t="inlineStr">
        <is>
          <t>Key inputs cover 3 weeks and big orders arrive in January.</t>
        </is>
      </c>
      <c r="M9" s="6" t="inlineStr">
        <is>
          <t>Delay the purchase</t>
        </is>
      </c>
      <c r="N9" s="6" t="inlineStr">
        <is>
          <t>You postpone buying to the inventory review at cycle end.</t>
        </is>
      </c>
      <c r="O9" s="4" t="n"/>
    </row>
    <row r="10" ht="40.5" customHeight="1">
      <c r="A10" s="6" t="inlineStr">
        <is>
          <t>m01e</t>
        </is>
      </c>
      <c r="B10" s="6" t="inlineStr">
        <is>
          <t>1 a 4</t>
        </is>
      </c>
      <c r="C10" s="6" t="inlineStr">
        <is>
          <t>ENTORNO</t>
        </is>
      </c>
      <c r="D10" s="6" t="inlineStr">
        <is>
          <t>El dólar está 7% sobre el presupuesto y 40% de tus insumos son importados.</t>
        </is>
      </c>
      <c r="E10" s="6" t="inlineStr">
        <is>
          <t>Reajuste por dólar</t>
        </is>
      </c>
      <c r="F10" s="6" t="inlineStr">
        <is>
          <t>Pactas por escrito un reajuste según el dólar y compras a plazo la mitad.</t>
        </is>
      </c>
      <c r="G10" s="6" t="inlineStr">
        <is>
          <t>Ventas</t>
        </is>
      </c>
      <c r="H10" s="6" t="inlineStr">
        <is>
          <t>Equilibrada</t>
        </is>
      </c>
      <c r="I10" s="4" t="n"/>
      <c r="J10" s="4" t="n"/>
      <c r="K10" s="4" t="n"/>
      <c r="L10" s="6" t="inlineStr">
        <is>
          <t>The dollar is 7% above budget and 40% of your inputs are imported.</t>
        </is>
      </c>
      <c r="M10" s="6" t="inlineStr">
        <is>
          <t>Dollar adjustment</t>
        </is>
      </c>
      <c r="N10" s="6" t="inlineStr">
        <is>
          <t>You agree in writing a dollar-linked adjustment and buy half forward.</t>
        </is>
      </c>
      <c r="O10" s="4" t="n"/>
    </row>
    <row r="11" ht="40.5" customHeight="1">
      <c r="A11" s="6" t="inlineStr">
        <is>
          <t>m01e</t>
        </is>
      </c>
      <c r="B11" s="6" t="inlineStr">
        <is>
          <t>1 a 4</t>
        </is>
      </c>
      <c r="C11" s="6" t="inlineStr">
        <is>
          <t>ENTORNO</t>
        </is>
      </c>
      <c r="D11" s="6" t="inlineStr">
        <is>
          <t>El dólar está 7% sobre el presupuesto y 40% de tus insumos son importados.</t>
        </is>
      </c>
      <c r="E11" s="6" t="inlineStr">
        <is>
          <t>Alza de precios</t>
        </is>
      </c>
      <c r="F11" s="6" t="inlineStr">
        <is>
          <t>Aplicas un alza de 3% desde mañana, también a los contratos vigentes.</t>
        </is>
      </c>
      <c r="G11" s="6" t="inlineStr">
        <is>
          <t>Ventas</t>
        </is>
      </c>
      <c r="H11" s="6" t="inlineStr">
        <is>
          <t>Atajo</t>
        </is>
      </c>
      <c r="I11" s="4" t="n"/>
      <c r="J11" s="4" t="n"/>
      <c r="K11" s="4" t="n"/>
      <c r="L11" s="6" t="inlineStr">
        <is>
          <t>The dollar is 7% above budget and 40% of your inputs are imported.</t>
        </is>
      </c>
      <c r="M11" s="6" t="inlineStr">
        <is>
          <t>Price hike</t>
        </is>
      </c>
      <c r="N11" s="6" t="inlineStr">
        <is>
          <t>You apply a 3% rise from tomorrow, existing contracts included.</t>
        </is>
      </c>
      <c r="O11" s="4" t="n"/>
    </row>
    <row r="12" ht="40.5" customHeight="1">
      <c r="A12" s="6" t="inlineStr">
        <is>
          <t>m01e</t>
        </is>
      </c>
      <c r="B12" s="6" t="inlineStr">
        <is>
          <t>1 a 4</t>
        </is>
      </c>
      <c r="C12" s="6" t="inlineStr">
        <is>
          <t>ENTORNO</t>
        </is>
      </c>
      <c r="D12" s="6" t="inlineStr">
        <is>
          <t>El dólar está 7% sobre el presupuesto y 40% de tus insumos son importados.</t>
        </is>
      </c>
      <c r="E12" s="6" t="inlineStr">
        <is>
          <t>Absorber el golpe</t>
        </is>
      </c>
      <c r="F12" s="6" t="inlineStr">
        <is>
          <t>Dejas precios y compras igual para que el margen pague el alza de 7%.</t>
        </is>
      </c>
      <c r="G12" s="6" t="inlineStr">
        <is>
          <t>Costo</t>
        </is>
      </c>
      <c r="H12" s="6" t="inlineStr">
        <is>
          <t>Ceder</t>
        </is>
      </c>
      <c r="I12" s="4" t="n"/>
      <c r="J12" s="4" t="n"/>
      <c r="K12" s="4" t="n"/>
      <c r="L12" s="6" t="inlineStr">
        <is>
          <t>The dollar is 7% above budget and 40% of your inputs are imported.</t>
        </is>
      </c>
      <c r="M12" s="6" t="inlineStr">
        <is>
          <t>Absorb the hit</t>
        </is>
      </c>
      <c r="N12" s="6" t="inlineStr">
        <is>
          <t>You leave prices and purchases as they are so the margin pays the 7% rise.</t>
        </is>
      </c>
      <c r="O12" s="4" t="n"/>
    </row>
    <row r="13" ht="40.5" customHeight="1">
      <c r="A13" s="6" t="inlineStr">
        <is>
          <t>m01e</t>
        </is>
      </c>
      <c r="B13" s="6" t="inlineStr">
        <is>
          <t>1 a 4</t>
        </is>
      </c>
      <c r="C13" s="6" t="inlineStr">
        <is>
          <t>ENTORNO</t>
        </is>
      </c>
      <c r="D13" s="6" t="inlineStr">
        <is>
          <t>El dólar está 7% sobre el presupuesto y 40% de tus insumos son importados.</t>
        </is>
      </c>
      <c r="E13" s="6" t="inlineStr">
        <is>
          <t>Analizar al cierre</t>
        </is>
      </c>
      <c r="F13" s="6" t="inlineStr">
        <is>
          <t>Analizas el efecto del dólar con los números del cierre, a 3 meses.</t>
        </is>
      </c>
      <c r="G13" s="6" t="inlineStr">
        <is>
          <t>Costo</t>
        </is>
      </c>
      <c r="H13" s="6" t="inlineStr">
        <is>
          <t>Pasiva</t>
        </is>
      </c>
      <c r="I13" s="4" t="n"/>
      <c r="J13" s="4" t="n"/>
      <c r="K13" s="4" t="n"/>
      <c r="L13" s="6" t="inlineStr">
        <is>
          <t>The dollar is 7% above budget and 40% of your inputs are imported.</t>
        </is>
      </c>
      <c r="M13" s="6" t="inlineStr">
        <is>
          <t>Check at close</t>
        </is>
      </c>
      <c r="N13" s="6" t="inlineStr">
        <is>
          <t>You analyze the dollar effect with the close numbers, 3 months out.</t>
        </is>
      </c>
      <c r="O13" s="4" t="n"/>
    </row>
    <row r="14" ht="40.5" customHeight="1">
      <c r="A14" s="6" t="inlineStr">
        <is>
          <t>m01s</t>
        </is>
      </c>
      <c r="B14" s="6" t="inlineStr">
        <is>
          <t>1 a 3</t>
        </is>
      </c>
      <c r="C14" s="6" t="inlineStr">
        <is>
          <t>ESTRATEGIA</t>
        </is>
      </c>
      <c r="D14" s="6" t="inlineStr">
        <is>
          <t>Corporativo pide 6% más de volumen; el ahorro de tus clientes sigue sin medir.</t>
        </is>
      </c>
      <c r="E14" s="6" t="inlineStr">
        <is>
          <t>Medir el ahorro</t>
        </is>
      </c>
      <c r="F14" s="6" t="inlineStr">
        <is>
          <t>Documentas el ahorro del agua de 3 clientes y negocias después con datos.</t>
        </is>
      </c>
      <c r="G14" s="6" t="inlineStr">
        <is>
          <t>Ventas</t>
        </is>
      </c>
      <c r="H14" s="6" t="inlineStr">
        <is>
          <t>Equilibrada</t>
        </is>
      </c>
      <c r="I14" s="4" t="n"/>
      <c r="J14" s="4" t="n"/>
      <c r="K14" s="4" t="n"/>
      <c r="L14" s="6" t="inlineStr">
        <is>
          <t>Corporate asks for 6% more volume; your clients' savings remain unmeasured.</t>
        </is>
      </c>
      <c r="M14" s="6" t="inlineStr">
        <is>
          <t>Measure the savings</t>
        </is>
      </c>
      <c r="N14" s="6" t="inlineStr">
        <is>
          <t>You document the water savings of 3 clients and negotiate with data later.</t>
        </is>
      </c>
      <c r="O14" s="4" t="n"/>
    </row>
    <row r="15" ht="40.5" customHeight="1">
      <c r="A15" s="6" t="inlineStr">
        <is>
          <t>m01s</t>
        </is>
      </c>
      <c r="B15" s="6" t="inlineStr">
        <is>
          <t>1 a 3</t>
        </is>
      </c>
      <c r="C15" s="6" t="inlineStr">
        <is>
          <t>ESTRATEGIA</t>
        </is>
      </c>
      <c r="D15" s="6" t="inlineStr">
        <is>
          <t>Corporativo pide 6% más de volumen; el ahorro de tus clientes sigue sin medir.</t>
        </is>
      </c>
      <c r="E15" s="6" t="inlineStr">
        <is>
          <t>Empujar volumen</t>
        </is>
      </c>
      <c r="F15" s="6" t="inlineStr">
        <is>
          <t>Ofreces 4% de descuento en pedidos extra para llegar al 6% de corporativo.</t>
        </is>
      </c>
      <c r="G15" s="6" t="inlineStr">
        <is>
          <t>Ventas</t>
        </is>
      </c>
      <c r="H15" s="6" t="inlineStr">
        <is>
          <t>Atajo</t>
        </is>
      </c>
      <c r="I15" s="4" t="n"/>
      <c r="J15" s="4" t="n"/>
      <c r="K15" s="4" t="n"/>
      <c r="L15" s="6" t="inlineStr">
        <is>
          <t>Corporate asks for 6% more volume; your clients' savings remain unmeasured.</t>
        </is>
      </c>
      <c r="M15" s="6" t="inlineStr">
        <is>
          <t>Push volume</t>
        </is>
      </c>
      <c r="N15" s="6" t="inlineStr">
        <is>
          <t>You offer 4% off on extra orders to reach corporate's 6%.</t>
        </is>
      </c>
      <c r="O15" s="4" t="n"/>
    </row>
    <row r="16" ht="40.5" customHeight="1">
      <c r="A16" s="6" t="inlineStr">
        <is>
          <t>m01s</t>
        </is>
      </c>
      <c r="B16" s="6" t="inlineStr">
        <is>
          <t>1 a 3</t>
        </is>
      </c>
      <c r="C16" s="6" t="inlineStr">
        <is>
          <t>ESTRATEGIA</t>
        </is>
      </c>
      <c r="D16" s="6" t="inlineStr">
        <is>
          <t>Corporativo pide 6% más de volumen; el ahorro de tus clientes sigue sin medir.</t>
        </is>
      </c>
      <c r="E16" s="6" t="inlineStr">
        <is>
          <t>Plan de corporativo</t>
        </is>
      </c>
      <c r="F16" s="6" t="inlineStr">
        <is>
          <t>Aplicas con rigor el plan de volumen de corporativo; la medición queda en pausa.</t>
        </is>
      </c>
      <c r="G16" s="6" t="inlineStr">
        <is>
          <t>SG&amp;A</t>
        </is>
      </c>
      <c r="H16" s="6" t="inlineStr">
        <is>
          <t>Ceder</t>
        </is>
      </c>
      <c r="I16" s="4" t="n"/>
      <c r="J16" s="4" t="n"/>
      <c r="K16" s="4" t="n"/>
      <c r="L16" s="6" t="inlineStr">
        <is>
          <t>Corporate asks for 6% more volume; your clients' savings remain unmeasured.</t>
        </is>
      </c>
      <c r="M16" s="6" t="inlineStr">
        <is>
          <t>Corporate's plan</t>
        </is>
      </c>
      <c r="N16" s="6" t="inlineStr">
        <is>
          <t>You apply corporate's volume plan strictly; measurement stays on hold.</t>
        </is>
      </c>
      <c r="O16" s="4" t="n"/>
    </row>
    <row r="17" ht="40.5" customHeight="1">
      <c r="A17" s="6" t="inlineStr">
        <is>
          <t>m01s</t>
        </is>
      </c>
      <c r="B17" s="6" t="inlineStr">
        <is>
          <t>1 a 3</t>
        </is>
      </c>
      <c r="C17" s="6" t="inlineStr">
        <is>
          <t>ESTRATEGIA</t>
        </is>
      </c>
      <c r="D17" s="6" t="inlineStr">
        <is>
          <t>Corporativo pide 6% más de volumen; el ahorro de tus clientes sigue sin medir.</t>
        </is>
      </c>
      <c r="E17" s="6" t="inlineStr">
        <is>
          <t>Posponer ambas</t>
        </is>
      </c>
      <c r="F17" s="6" t="inlineStr">
        <is>
          <t>Postergas ambas ideas por 3 meses, hasta que el año tome ritmo.</t>
        </is>
      </c>
      <c r="G17" s="6" t="inlineStr">
        <is>
          <t>SG&amp;A</t>
        </is>
      </c>
      <c r="H17" s="6" t="inlineStr">
        <is>
          <t>Pasiva</t>
        </is>
      </c>
      <c r="I17" s="4" t="n"/>
      <c r="J17" s="4" t="n"/>
      <c r="K17" s="4" t="n"/>
      <c r="L17" s="6" t="inlineStr">
        <is>
          <t>Corporate asks for 6% more volume; your clients' savings remain unmeasured.</t>
        </is>
      </c>
      <c r="M17" s="6" t="inlineStr">
        <is>
          <t>Postpone both</t>
        </is>
      </c>
      <c r="N17" s="6" t="inlineStr">
        <is>
          <t>You park both ideas about 3 months, until the year gets going.</t>
        </is>
      </c>
      <c r="O17" s="4" t="n"/>
    </row>
    <row r="18" ht="40.5" customHeight="1">
      <c r="A18" s="6" t="inlineStr">
        <is>
          <t>m02c</t>
        </is>
      </c>
      <c r="B18" s="6" t="inlineStr">
        <is>
          <t>Cualquiera</t>
        </is>
      </c>
      <c r="C18" s="6" t="inlineStr">
        <is>
          <t>CLIENTE</t>
        </is>
      </c>
      <c r="D18" s="6" t="inlineStr">
        <is>
          <t>Un cliente, 12% de tus ventas, pide otra especificación con 2 semanas de aviso.</t>
        </is>
      </c>
      <c r="E18" s="6" t="inlineStr">
        <is>
          <t>Prueba corta</t>
        </is>
      </c>
      <c r="F18" s="6" t="inlineStr">
        <is>
          <t>Haces una prueba de 3 días y pides al cliente acordar una fecha realista.</t>
        </is>
      </c>
      <c r="G18" s="6" t="inlineStr">
        <is>
          <t>Direct Chg</t>
        </is>
      </c>
      <c r="H18" s="6" t="inlineStr">
        <is>
          <t>Equilibrada</t>
        </is>
      </c>
      <c r="I18" s="4" t="n"/>
      <c r="J18" s="4" t="n"/>
      <c r="K18" s="4" t="n"/>
      <c r="L18" s="6" t="inlineStr">
        <is>
          <t>A client, 12% of your sales, asks for a new spec with 2 weeks' notice.</t>
        </is>
      </c>
      <c r="M18" s="6" t="inlineStr">
        <is>
          <t>Short trial</t>
        </is>
      </c>
      <c r="N18" s="6" t="inlineStr">
        <is>
          <t>You run a 3-day trial and get the client to agree on a realistic date.</t>
        </is>
      </c>
      <c r="O18" s="4" t="n"/>
    </row>
    <row r="19" ht="40.5" customHeight="1">
      <c r="A19" s="6" t="inlineStr">
        <is>
          <t>m02c</t>
        </is>
      </c>
      <c r="B19" s="6" t="inlineStr">
        <is>
          <t>Cualquiera</t>
        </is>
      </c>
      <c r="C19" s="6" t="inlineStr">
        <is>
          <t>CLIENTE</t>
        </is>
      </c>
      <c r="D19" s="6" t="inlineStr">
        <is>
          <t>Un cliente, 12% de tus ventas, pide otra especificación con 2 semanas de aviso.</t>
        </is>
      </c>
      <c r="E19" s="6" t="inlineStr">
        <is>
          <t>Cambiar la fórmula</t>
        </is>
      </c>
      <c r="F19" s="6" t="inlineStr">
        <is>
          <t>Cambias la fórmula con el stock de bodega y despachas en 2 semanas.</t>
        </is>
      </c>
      <c r="G19" s="6" t="inlineStr">
        <is>
          <t>Costo</t>
        </is>
      </c>
      <c r="H19" s="6" t="inlineStr">
        <is>
          <t>Atajo</t>
        </is>
      </c>
      <c r="I19" s="4" t="n"/>
      <c r="J19" s="4" t="n"/>
      <c r="K19" s="4" t="n"/>
      <c r="L19" s="6" t="inlineStr">
        <is>
          <t>A client, 12% of your sales, asks for a new spec with 2 weeks' notice.</t>
        </is>
      </c>
      <c r="M19" s="6" t="inlineStr">
        <is>
          <t>Change the formula</t>
        </is>
      </c>
      <c r="N19" s="6" t="inlineStr">
        <is>
          <t>You change the formula with warehouse stock and ship in 2 weeks.</t>
        </is>
      </c>
      <c r="O19" s="4" t="n"/>
    </row>
    <row r="20" ht="40.5" customHeight="1">
      <c r="A20" s="6" t="inlineStr">
        <is>
          <t>m02c</t>
        </is>
      </c>
      <c r="B20" s="6" t="inlineStr">
        <is>
          <t>Cualquiera</t>
        </is>
      </c>
      <c r="C20" s="6" t="inlineStr">
        <is>
          <t>CLIENTE</t>
        </is>
      </c>
      <c r="D20" s="6" t="inlineStr">
        <is>
          <t>Un cliente, 12% de tus ventas, pide otra especificación con 2 semanas de aviso.</t>
        </is>
      </c>
      <c r="E20" s="6" t="inlineStr">
        <is>
          <t>Aceptar lo pedido</t>
        </is>
      </c>
      <c r="F20" s="6" t="inlineStr">
        <is>
          <t>Aceptas la fecha de 2 semanas y absorbes el costo extra de planta.</t>
        </is>
      </c>
      <c r="G20" s="6" t="inlineStr">
        <is>
          <t>Costo</t>
        </is>
      </c>
      <c r="H20" s="6" t="inlineStr">
        <is>
          <t>Ceder</t>
        </is>
      </c>
      <c r="I20" s="4" t="n"/>
      <c r="J20" s="4" t="n"/>
      <c r="K20" s="4" t="n"/>
      <c r="L20" s="6" t="inlineStr">
        <is>
          <t>A client, 12% of your sales, asks for a new spec with 2 weeks' notice.</t>
        </is>
      </c>
      <c r="M20" s="6" t="inlineStr">
        <is>
          <t>Accept the request</t>
        </is>
      </c>
      <c r="N20" s="6" t="inlineStr">
        <is>
          <t>You accept the 2-week date and take on the extra plant cost.</t>
        </is>
      </c>
      <c r="O20" s="4" t="n"/>
    </row>
    <row r="21" ht="40.5" customHeight="1">
      <c r="A21" s="6" t="inlineStr">
        <is>
          <t>m02c</t>
        </is>
      </c>
      <c r="B21" s="6" t="inlineStr">
        <is>
          <t>Cualquiera</t>
        </is>
      </c>
      <c r="C21" s="6" t="inlineStr">
        <is>
          <t>CLIENTE</t>
        </is>
      </c>
      <c r="D21" s="6" t="inlineStr">
        <is>
          <t>Un cliente, 12% de tus ventas, pide otra especificación con 2 semanas de aviso.</t>
        </is>
      </c>
      <c r="E21" s="6" t="inlineStr">
        <is>
          <t>Responder el lunes</t>
        </is>
      </c>
      <c r="F21" s="6" t="inlineStr">
        <is>
          <t>Lo llevas a la reunión comercial del lunes y respondes en una semana.</t>
        </is>
      </c>
      <c r="G21" s="6" t="inlineStr">
        <is>
          <t>Ventas</t>
        </is>
      </c>
      <c r="H21" s="6" t="inlineStr">
        <is>
          <t>Pasiva</t>
        </is>
      </c>
      <c r="I21" s="4" t="n"/>
      <c r="J21" s="4" t="n"/>
      <c r="K21" s="4" t="n"/>
      <c r="L21" s="6" t="inlineStr">
        <is>
          <t>A client, 12% of your sales, asks for a new spec with 2 weeks' notice.</t>
        </is>
      </c>
      <c r="M21" s="6" t="inlineStr">
        <is>
          <t>Answer on Monday</t>
        </is>
      </c>
      <c r="N21" s="6" t="inlineStr">
        <is>
          <t>You take it to Monday's sales meeting and answer within a week.</t>
        </is>
      </c>
      <c r="O21" s="4" t="n"/>
    </row>
    <row r="22" ht="40.5" customHeight="1">
      <c r="A22" s="6" t="inlineStr">
        <is>
          <t>m02p</t>
        </is>
      </c>
      <c r="B22" s="6" t="inlineStr">
        <is>
          <t>Cualquiera</t>
        </is>
      </c>
      <c r="C22" s="6" t="inlineStr">
        <is>
          <t>PLANTA</t>
        </is>
      </c>
      <c r="D22" s="6" t="inlineStr">
        <is>
          <t>Toca la mantención mayor, con 4 días de línea parada, y hay pedidos urgentes.</t>
        </is>
      </c>
      <c r="E22" s="6" t="inlineStr">
        <is>
          <t>Mantención parcial</t>
        </is>
      </c>
      <c r="F22" s="6" t="inlineStr">
        <is>
          <t>Paras media línea en turnos, con 2 semanas de plazo, y repartes lo urgente.</t>
        </is>
      </c>
      <c r="G22" s="6" t="inlineStr">
        <is>
          <t>Costo</t>
        </is>
      </c>
      <c r="H22" s="6" t="inlineStr">
        <is>
          <t>Equilibrada</t>
        </is>
      </c>
      <c r="I22" s="4" t="n"/>
      <c r="J22" s="4" t="n"/>
      <c r="K22" s="4" t="n"/>
      <c r="L22" s="6" t="inlineStr">
        <is>
          <t>Major maintenance is due (4 days stopped) and urgent orders are in.</t>
        </is>
      </c>
      <c r="M22" s="6" t="inlineStr">
        <is>
          <t>Partial maintenance</t>
        </is>
      </c>
      <c r="N22" s="6" t="inlineStr">
        <is>
          <t>You stop half the line in shifts for 8 days and split the urgent orders.</t>
        </is>
      </c>
      <c r="O22" s="4" t="n"/>
    </row>
    <row r="23" ht="40.5" customHeight="1">
      <c r="A23" s="6" t="inlineStr">
        <is>
          <t>m02p</t>
        </is>
      </c>
      <c r="B23" s="6" t="inlineStr">
        <is>
          <t>Cualquiera</t>
        </is>
      </c>
      <c r="C23" s="6" t="inlineStr">
        <is>
          <t>PLANTA</t>
        </is>
      </c>
      <c r="D23" s="6" t="inlineStr">
        <is>
          <t>Toca la mantención mayor, con 4 días de línea parada, y hay pedidos urgentes.</t>
        </is>
      </c>
      <c r="E23" s="6" t="inlineStr">
        <is>
          <t>Aplazar mantención</t>
        </is>
      </c>
      <c r="F23" s="6" t="inlineStr">
        <is>
          <t>Mueves la mantención por 8 semanas y atiendes los pedidos del mes.</t>
        </is>
      </c>
      <c r="G23" s="6" t="inlineStr">
        <is>
          <t>Costo</t>
        </is>
      </c>
      <c r="H23" s="6" t="inlineStr">
        <is>
          <t>Atajo</t>
        </is>
      </c>
      <c r="I23" s="4" t="n"/>
      <c r="J23" s="4" t="n"/>
      <c r="K23" s="4" t="n"/>
      <c r="L23" s="6" t="inlineStr">
        <is>
          <t>Major maintenance is due (4 days stopped) and urgent orders are in.</t>
        </is>
      </c>
      <c r="M23" s="6" t="inlineStr">
        <is>
          <t>Delay maintenance</t>
        </is>
      </c>
      <c r="N23" s="6" t="inlineStr">
        <is>
          <t>You move maintenance back 60 days and meet the month's orders.</t>
        </is>
      </c>
      <c r="O23" s="4" t="n"/>
    </row>
    <row r="24" ht="40.5" customHeight="1">
      <c r="A24" s="6" t="inlineStr">
        <is>
          <t>m02p</t>
        </is>
      </c>
      <c r="B24" s="6" t="inlineStr">
        <is>
          <t>Cualquiera</t>
        </is>
      </c>
      <c r="C24" s="6" t="inlineStr">
        <is>
          <t>PLANTA</t>
        </is>
      </c>
      <c r="D24" s="6" t="inlineStr">
        <is>
          <t>Toca la mantención mayor, con 4 días de línea parada, y hay pedidos urgentes.</t>
        </is>
      </c>
      <c r="E24" s="6" t="inlineStr">
        <is>
          <t>Parar la línea</t>
        </is>
      </c>
      <c r="F24" s="6" t="inlineStr">
        <is>
          <t>Detienes la línea 4 días y pides al cliente que espere sus despachos.</t>
        </is>
      </c>
      <c r="G24" s="6" t="inlineStr">
        <is>
          <t>Costo</t>
        </is>
      </c>
      <c r="H24" s="6" t="inlineStr">
        <is>
          <t>Ceder</t>
        </is>
      </c>
      <c r="I24" s="4" t="n"/>
      <c r="J24" s="4" t="n"/>
      <c r="K24" s="4" t="n"/>
      <c r="L24" s="6" t="inlineStr">
        <is>
          <t>Major maintenance is due (4 days stopped) and urgent orders are in.</t>
        </is>
      </c>
      <c r="M24" s="6" t="inlineStr">
        <is>
          <t>Stop the line</t>
        </is>
      </c>
      <c r="N24" s="6" t="inlineStr">
        <is>
          <t>You halt the line 4 days and tell the client to wait for shipments.</t>
        </is>
      </c>
      <c r="O24" s="4" t="n"/>
    </row>
    <row r="25" ht="40.5" customHeight="1">
      <c r="A25" s="6" t="inlineStr">
        <is>
          <t>m02p</t>
        </is>
      </c>
      <c r="B25" s="6" t="inlineStr">
        <is>
          <t>Cualquiera</t>
        </is>
      </c>
      <c r="C25" s="6" t="inlineStr">
        <is>
          <t>PLANTA</t>
        </is>
      </c>
      <c r="D25" s="6" t="inlineStr">
        <is>
          <t>Toca la mantención mayor, con 4 días de línea parada, y hay pedidos urgentes.</t>
        </is>
      </c>
      <c r="E25" s="6" t="inlineStr">
        <is>
          <t>Calendario original</t>
        </is>
      </c>
      <c r="F25" s="6" t="inlineStr">
        <is>
          <t>Respetas el calendario original; solo 2 de 5 urgentes entran.</t>
        </is>
      </c>
      <c r="G25" s="6" t="inlineStr">
        <is>
          <t>Costo</t>
        </is>
      </c>
      <c r="H25" s="6" t="inlineStr">
        <is>
          <t>Pasiva</t>
        </is>
      </c>
      <c r="I25" s="4" t="n"/>
      <c r="J25" s="4" t="n"/>
      <c r="K25" s="4" t="n"/>
      <c r="L25" s="6" t="inlineStr">
        <is>
          <t>Major maintenance is due (4 days stopped) and urgent orders are in.</t>
        </is>
      </c>
      <c r="M25" s="6" t="inlineStr">
        <is>
          <t>Follow the calendar</t>
        </is>
      </c>
      <c r="N25" s="6" t="inlineStr">
        <is>
          <t>You keep the original calendar; only 2 of 5 urgent orders get in.</t>
        </is>
      </c>
      <c r="O25" s="4" t="n"/>
    </row>
    <row r="26" ht="27" customHeight="1">
      <c r="A26" s="6" t="inlineStr">
        <is>
          <t>m02e</t>
        </is>
      </c>
      <c r="B26" s="6" t="inlineStr">
        <is>
          <t>1 a 3</t>
        </is>
      </c>
      <c r="C26" s="6" t="inlineStr">
        <is>
          <t>ENTORNO</t>
        </is>
      </c>
      <c r="D26" s="6" t="inlineStr">
        <is>
          <t>Las lluvias cortan el camino a la faena: hay 14 despachos pendientes.</t>
        </is>
      </c>
      <c r="E26" s="6" t="inlineStr">
        <is>
          <t>Ruta alterna</t>
        </is>
      </c>
      <c r="F26" s="6" t="inlineStr">
        <is>
          <t>Tomas la ruta sur, 120 km más larga, y priorizas lo crítico.</t>
        </is>
      </c>
      <c r="G26" s="6" t="inlineStr">
        <is>
          <t>Flete</t>
        </is>
      </c>
      <c r="H26" s="6" t="inlineStr">
        <is>
          <t>Equilibrada</t>
        </is>
      </c>
      <c r="I26" s="4" t="n"/>
      <c r="J26" s="4" t="n"/>
      <c r="K26" s="4" t="n"/>
      <c r="L26" s="6" t="inlineStr">
        <is>
          <t>Rains cut the road to the site: 14 shipments are pending.</t>
        </is>
      </c>
      <c r="M26" s="6" t="inlineStr">
        <is>
          <t>Alternate route</t>
        </is>
      </c>
      <c r="N26" s="6" t="inlineStr">
        <is>
          <t>You take the southern route, 120 km longer, and prioritize what is critical.</t>
        </is>
      </c>
      <c r="O26" s="4" t="n"/>
    </row>
    <row r="27" ht="27" customHeight="1">
      <c r="A27" s="6" t="inlineStr">
        <is>
          <t>m02e</t>
        </is>
      </c>
      <c r="B27" s="6" t="inlineStr">
        <is>
          <t>1 a 3</t>
        </is>
      </c>
      <c r="C27" s="6" t="inlineStr">
        <is>
          <t>ENTORNO</t>
        </is>
      </c>
      <c r="D27" s="6" t="inlineStr">
        <is>
          <t>Las lluvias cortan el camino a la faena: hay 14 despachos pendientes.</t>
        </is>
      </c>
      <c r="E27" s="6" t="inlineStr">
        <is>
          <t>Despachar igual</t>
        </is>
      </c>
      <c r="F27" s="6" t="inlineStr">
        <is>
          <t>Mandas los 14 camiones igual y llegas a las fechas pese al camino dañado.</t>
        </is>
      </c>
      <c r="G27" s="6" t="inlineStr">
        <is>
          <t>Flete</t>
        </is>
      </c>
      <c r="H27" s="6" t="inlineStr">
        <is>
          <t>Atajo</t>
        </is>
      </c>
      <c r="I27" s="4" t="n"/>
      <c r="J27" s="4" t="n"/>
      <c r="K27" s="4" t="n"/>
      <c r="L27" s="6" t="inlineStr">
        <is>
          <t>Rains cut the road to the site: 14 shipments are pending.</t>
        </is>
      </c>
      <c r="M27" s="6" t="inlineStr">
        <is>
          <t>Ship anyway</t>
        </is>
      </c>
      <c r="N27" s="6" t="inlineStr">
        <is>
          <t>You send the 14 trucks anyway and hit the dates despite the damaged road.</t>
        </is>
      </c>
      <c r="O27" s="4" t="n"/>
    </row>
    <row r="28" ht="27" customHeight="1">
      <c r="A28" s="6" t="inlineStr">
        <is>
          <t>m02e</t>
        </is>
      </c>
      <c r="B28" s="6" t="inlineStr">
        <is>
          <t>1 a 3</t>
        </is>
      </c>
      <c r="C28" s="6" t="inlineStr">
        <is>
          <t>ENTORNO</t>
        </is>
      </c>
      <c r="D28" s="6" t="inlineStr">
        <is>
          <t>Las lluvias cortan el camino a la faena: hay 14 despachos pendientes.</t>
        </is>
      </c>
      <c r="E28" s="6" t="inlineStr">
        <is>
          <t>Camiones 4x4</t>
        </is>
      </c>
      <c r="F28" s="6" t="inlineStr">
        <is>
          <t>Alquilas 14 camiones 4x4 para llegar a tiempo, a triple tarifa de flete.</t>
        </is>
      </c>
      <c r="G28" s="6" t="inlineStr">
        <is>
          <t>Flete</t>
        </is>
      </c>
      <c r="H28" s="6" t="inlineStr">
        <is>
          <t>Ceder</t>
        </is>
      </c>
      <c r="I28" s="4" t="n"/>
      <c r="J28" s="4" t="n"/>
      <c r="K28" s="4" t="n"/>
      <c r="L28" s="6" t="inlineStr">
        <is>
          <t>Rains cut the road to the site: 14 shipments are pending.</t>
        </is>
      </c>
      <c r="M28" s="6" t="inlineStr">
        <is>
          <t>4x4 trucks</t>
        </is>
      </c>
      <c r="N28" s="6" t="inlineStr">
        <is>
          <t>You rent 14 4x4 trucks to arrive on time, at triple the freight rate.</t>
        </is>
      </c>
      <c r="O28" s="4" t="n"/>
    </row>
    <row r="29" ht="27" customHeight="1">
      <c r="A29" s="6" t="inlineStr">
        <is>
          <t>m02e</t>
        </is>
      </c>
      <c r="B29" s="6" t="inlineStr">
        <is>
          <t>1 a 3</t>
        </is>
      </c>
      <c r="C29" s="6" t="inlineStr">
        <is>
          <t>ENTORNO</t>
        </is>
      </c>
      <c r="D29" s="6" t="inlineStr">
        <is>
          <t>Las lluvias cortan el camino a la faena: hay 14 despachos pendientes.</t>
        </is>
      </c>
      <c r="E29" s="6" t="inlineStr">
        <is>
          <t>Camino cortado</t>
        </is>
      </c>
      <c r="F29" s="6" t="inlineStr">
        <is>
          <t>Detienes los despachos con el camino cortado, una semana más o menos.</t>
        </is>
      </c>
      <c r="G29" s="6" t="inlineStr">
        <is>
          <t>Flete</t>
        </is>
      </c>
      <c r="H29" s="6" t="inlineStr">
        <is>
          <t>Pasiva</t>
        </is>
      </c>
      <c r="I29" s="4" t="n"/>
      <c r="J29" s="4" t="n"/>
      <c r="K29" s="4" t="n"/>
      <c r="L29" s="6" t="inlineStr">
        <is>
          <t>Rains cut the road to the site: 14 shipments are pending.</t>
        </is>
      </c>
      <c r="M29" s="6" t="inlineStr">
        <is>
          <t>Closed road</t>
        </is>
      </c>
      <c r="N29" s="6" t="inlineStr">
        <is>
          <t>You halt shipments while the road is shut, a week or so.</t>
        </is>
      </c>
      <c r="O29" s="4" t="n"/>
    </row>
    <row r="30" ht="40.5" customHeight="1">
      <c r="A30" s="6" t="inlineStr">
        <is>
          <t>m02s</t>
        </is>
      </c>
      <c r="B30" s="6" t="inlineStr">
        <is>
          <t>Cualquiera</t>
        </is>
      </c>
      <c r="C30" s="6" t="inlineStr">
        <is>
          <t>ESTRATEGIA</t>
        </is>
      </c>
      <c r="D30" s="6" t="inlineStr">
        <is>
          <t>Corporativo pide subir 8% el pronóstico del año para la reunión del lunes.</t>
        </is>
      </c>
      <c r="E30" s="6" t="inlineStr">
        <is>
          <t>Pronóstico en rango</t>
        </is>
      </c>
      <c r="F30" s="6" t="inlineStr">
        <is>
          <t>Entregas un caso base y otro optimista de +8%, ambos explicados.</t>
        </is>
      </c>
      <c r="G30" s="6" t="inlineStr">
        <is>
          <t>SG&amp;A</t>
        </is>
      </c>
      <c r="H30" s="6" t="inlineStr">
        <is>
          <t>Equilibrada</t>
        </is>
      </c>
      <c r="I30" s="4" t="n"/>
      <c r="J30" s="4" t="n"/>
      <c r="K30" s="4" t="n"/>
      <c r="L30" s="6" t="inlineStr">
        <is>
          <t>Corporate asks to raise the yearly forecast 8% for Monday's meeting.</t>
        </is>
      </c>
      <c r="M30" s="6" t="inlineStr">
        <is>
          <t>Ranged forecast</t>
        </is>
      </c>
      <c r="N30" s="6" t="inlineStr">
        <is>
          <t>You give a base case and an upside of +8%, both explained.</t>
        </is>
      </c>
      <c r="O30" s="4" t="n"/>
    </row>
    <row r="31" ht="40.5" customHeight="1">
      <c r="A31" s="6" t="inlineStr">
        <is>
          <t>m02s</t>
        </is>
      </c>
      <c r="B31" s="6" t="inlineStr">
        <is>
          <t>Cualquiera</t>
        </is>
      </c>
      <c r="C31" s="6" t="inlineStr">
        <is>
          <t>ESTRATEGIA</t>
        </is>
      </c>
      <c r="D31" s="6" t="inlineStr">
        <is>
          <t>Corporativo pide subir 8% el pronóstico del año para la reunión del lunes.</t>
        </is>
      </c>
      <c r="E31" s="6" t="inlineStr">
        <is>
          <t>Inflar el número</t>
        </is>
      </c>
      <c r="F31" s="6" t="inlineStr">
        <is>
          <t>Inflas 8% el pronóstico para cumplir y lo ajustas en el próximo reporte.</t>
        </is>
      </c>
      <c r="G31" s="6" t="inlineStr">
        <is>
          <t>SG&amp;A</t>
        </is>
      </c>
      <c r="H31" s="6" t="inlineStr">
        <is>
          <t>Atajo</t>
        </is>
      </c>
      <c r="I31" s="4" t="n"/>
      <c r="J31" s="4" t="n"/>
      <c r="K31" s="4" t="n"/>
      <c r="L31" s="6" t="inlineStr">
        <is>
          <t>Corporate asks to raise the yearly forecast 8% for Monday's meeting.</t>
        </is>
      </c>
      <c r="M31" s="6" t="inlineStr">
        <is>
          <t>Inflate the number</t>
        </is>
      </c>
      <c r="N31" s="6" t="inlineStr">
        <is>
          <t>You boost the forecast 8% to comply and adjust it in the next report.</t>
        </is>
      </c>
      <c r="O31" s="4" t="n"/>
    </row>
    <row r="32" ht="40.5" customHeight="1">
      <c r="A32" s="6" t="inlineStr">
        <is>
          <t>m02s</t>
        </is>
      </c>
      <c r="B32" s="6" t="inlineStr">
        <is>
          <t>Cualquiera</t>
        </is>
      </c>
      <c r="C32" s="6" t="inlineStr">
        <is>
          <t>ESTRATEGIA</t>
        </is>
      </c>
      <c r="D32" s="6" t="inlineStr">
        <is>
          <t>Corporativo pide subir 8% el pronóstico del año para la reunión del lunes.</t>
        </is>
      </c>
      <c r="E32" s="6" t="inlineStr">
        <is>
          <t>Aceptar el 8%</t>
        </is>
      </c>
      <c r="F32" s="6" t="inlineStr">
        <is>
          <t>Aceptas con gusto la meta de +8% y la repartes entre los equipos.</t>
        </is>
      </c>
      <c r="G32" s="6" t="inlineStr">
        <is>
          <t>SG&amp;A</t>
        </is>
      </c>
      <c r="H32" s="6" t="inlineStr">
        <is>
          <t>Ceder</t>
        </is>
      </c>
      <c r="I32" s="4" t="n"/>
      <c r="J32" s="4" t="n"/>
      <c r="K32" s="4" t="n"/>
      <c r="L32" s="6" t="inlineStr">
        <is>
          <t>Corporate asks to raise the yearly forecast 8% for Monday's meeting.</t>
        </is>
      </c>
      <c r="M32" s="6" t="inlineStr">
        <is>
          <t>Accept the 8%</t>
        </is>
      </c>
      <c r="N32" s="6" t="inlineStr">
        <is>
          <t>You gladly accept the +8% target and split it among the teams.</t>
        </is>
      </c>
      <c r="O32" s="4" t="n"/>
    </row>
    <row r="33" ht="40.5" customHeight="1">
      <c r="A33" s="6" t="inlineStr">
        <is>
          <t>m02s</t>
        </is>
      </c>
      <c r="B33" s="6" t="inlineStr">
        <is>
          <t>Cualquiera</t>
        </is>
      </c>
      <c r="C33" s="6" t="inlineStr">
        <is>
          <t>ESTRATEGIA</t>
        </is>
      </c>
      <c r="D33" s="6" t="inlineStr">
        <is>
          <t>Corporativo pide subir 8% el pronóstico del año para la reunión del lunes.</t>
        </is>
      </c>
      <c r="E33" s="6" t="inlineStr">
        <is>
          <t>Enviarlo después</t>
        </is>
      </c>
      <c r="F33" s="6" t="inlineStr">
        <is>
          <t>Envías el pronóstico por correo en 7 días, con los datos de enero listos.</t>
        </is>
      </c>
      <c r="G33" s="6" t="inlineStr">
        <is>
          <t>SG&amp;A</t>
        </is>
      </c>
      <c r="H33" s="6" t="inlineStr">
        <is>
          <t>Pasiva</t>
        </is>
      </c>
      <c r="I33" s="4" t="n"/>
      <c r="J33" s="4" t="n"/>
      <c r="K33" s="4" t="n"/>
      <c r="L33" s="6" t="inlineStr">
        <is>
          <t>Corporate asks to raise the yearly forecast 8% for Monday's meeting.</t>
        </is>
      </c>
      <c r="M33" s="6" t="inlineStr">
        <is>
          <t>Send it later</t>
        </is>
      </c>
      <c r="N33" s="6" t="inlineStr">
        <is>
          <t>You email the forecast in 7 days, with January already closed.</t>
        </is>
      </c>
      <c r="O33" s="4" t="n"/>
    </row>
    <row r="34" ht="27" customHeight="1">
      <c r="A34" s="6" t="inlineStr">
        <is>
          <t>m03c</t>
        </is>
      </c>
      <c r="B34" s="6" t="inlineStr">
        <is>
          <t>Cualquiera</t>
        </is>
      </c>
      <c r="C34" s="6" t="inlineStr">
        <is>
          <t>CLIENTE</t>
        </is>
      </c>
      <c r="D34" s="6" t="inlineStr">
        <is>
          <t>Un cliente reclama 40 toneladas que salieron fuera de especificación.</t>
        </is>
      </c>
      <c r="E34" s="6" t="inlineStr">
        <is>
          <t>Reponer el lote</t>
        </is>
      </c>
      <c r="F34" s="6" t="inlineStr">
        <is>
          <t>Repones hoy las 40 toneladas y compartes el análisis para evitar otro reclamo.</t>
        </is>
      </c>
      <c r="G34" s="6" t="inlineStr">
        <is>
          <t>Flete</t>
        </is>
      </c>
      <c r="H34" s="6" t="inlineStr">
        <is>
          <t>Equilibrada</t>
        </is>
      </c>
      <c r="I34" s="4" t="n"/>
      <c r="J34" s="4" t="n"/>
      <c r="K34" s="4" t="n"/>
      <c r="L34" s="6" t="inlineStr">
        <is>
          <t>A client complains about 40 tons that came out off specification.</t>
        </is>
      </c>
      <c r="M34" s="6" t="inlineStr">
        <is>
          <t>Replace the batch</t>
        </is>
      </c>
      <c r="N34" s="6" t="inlineStr">
        <is>
          <t>You replace the 40 tons today and share the analysis to avoid another claim.</t>
        </is>
      </c>
      <c r="O34" s="4" t="n"/>
    </row>
    <row r="35" ht="27" customHeight="1">
      <c r="A35" s="6" t="inlineStr">
        <is>
          <t>m03c</t>
        </is>
      </c>
      <c r="B35" s="6" t="inlineStr">
        <is>
          <t>Cualquiera</t>
        </is>
      </c>
      <c r="C35" s="6" t="inlineStr">
        <is>
          <t>CLIENTE</t>
        </is>
      </c>
      <c r="D35" s="6" t="inlineStr">
        <is>
          <t>Un cliente reclama 40 toneladas que salieron fuera de especificación.</t>
        </is>
      </c>
      <c r="E35" s="6" t="inlineStr">
        <is>
          <t>Apuntar al flete</t>
        </is>
      </c>
      <c r="F35" s="6" t="inlineStr">
        <is>
          <t>Atribuyes el daño al transporte y respondes con media reposición.</t>
        </is>
      </c>
      <c r="G35" s="6" t="inlineStr">
        <is>
          <t>Flete</t>
        </is>
      </c>
      <c r="H35" s="6" t="inlineStr">
        <is>
          <t>Atajo</t>
        </is>
      </c>
      <c r="I35" s="4" t="n"/>
      <c r="J35" s="4" t="n"/>
      <c r="K35" s="4" t="n"/>
      <c r="L35" s="6" t="inlineStr">
        <is>
          <t>A client complains about 40 tons that came out off specification.</t>
        </is>
      </c>
      <c r="M35" s="6" t="inlineStr">
        <is>
          <t>Point at freight</t>
        </is>
      </c>
      <c r="N35" s="6" t="inlineStr">
        <is>
          <t>You blame transport for the damage and answer with half a replacement.</t>
        </is>
      </c>
      <c r="O35" s="4" t="n"/>
    </row>
    <row r="36" ht="27" customHeight="1">
      <c r="A36" s="6" t="inlineStr">
        <is>
          <t>m03c</t>
        </is>
      </c>
      <c r="B36" s="6" t="inlineStr">
        <is>
          <t>Cualquiera</t>
        </is>
      </c>
      <c r="C36" s="6" t="inlineStr">
        <is>
          <t>CLIENTE</t>
        </is>
      </c>
      <c r="D36" s="6" t="inlineStr">
        <is>
          <t>Un cliente reclama 40 toneladas que salieron fuera de especificación.</t>
        </is>
      </c>
      <c r="E36" s="6" t="inlineStr">
        <is>
          <t>Descuento de 10%</t>
        </is>
      </c>
      <c r="F36" s="6" t="inlineStr">
        <is>
          <t>Reconoces 10% sobre la siguiente compra del cliente y cierras el reclamo hoy.</t>
        </is>
      </c>
      <c r="G36" s="6" t="inlineStr">
        <is>
          <t>Incentivos</t>
        </is>
      </c>
      <c r="H36" s="6" t="inlineStr">
        <is>
          <t>Ceder</t>
        </is>
      </c>
      <c r="I36" s="4" t="n"/>
      <c r="J36" s="4" t="n"/>
      <c r="K36" s="4" t="n"/>
      <c r="L36" s="6" t="inlineStr">
        <is>
          <t>A client complains about 40 tons that came out off specification.</t>
        </is>
      </c>
      <c r="M36" s="6" t="inlineStr">
        <is>
          <t>10% discount</t>
        </is>
      </c>
      <c r="N36" s="6" t="inlineStr">
        <is>
          <t>You give 10% off the client's next purchase and close the claim today.</t>
        </is>
      </c>
      <c r="O36" s="4" t="n"/>
    </row>
    <row r="37" ht="27" customHeight="1">
      <c r="A37" s="6" t="inlineStr">
        <is>
          <t>m03c</t>
        </is>
      </c>
      <c r="B37" s="6" t="inlineStr">
        <is>
          <t>Cualquiera</t>
        </is>
      </c>
      <c r="C37" s="6" t="inlineStr">
        <is>
          <t>CLIENTE</t>
        </is>
      </c>
      <c r="D37" s="6" t="inlineStr">
        <is>
          <t>Un cliente reclama 40 toneladas que salieron fuera de especificación.</t>
        </is>
      </c>
      <c r="E37" s="6" t="inlineStr">
        <is>
          <t>Reclamo formal</t>
        </is>
      </c>
      <c r="F37" s="6" t="inlineStr">
        <is>
          <t>Contestas el reclamo formal cuando llega, en 15 días, y revisas el lote.</t>
        </is>
      </c>
      <c r="G37" s="6" t="inlineStr">
        <is>
          <t>Direct Chg</t>
        </is>
      </c>
      <c r="H37" s="6" t="inlineStr">
        <is>
          <t>Pasiva</t>
        </is>
      </c>
      <c r="I37" s="4" t="n"/>
      <c r="J37" s="4" t="n"/>
      <c r="K37" s="4" t="n"/>
      <c r="L37" s="6" t="inlineStr">
        <is>
          <t>A client complains about 40 tons that came out off specification.</t>
        </is>
      </c>
      <c r="M37" s="6" t="inlineStr">
        <is>
          <t>Formal claim</t>
        </is>
      </c>
      <c r="N37" s="6" t="inlineStr">
        <is>
          <t>You wait for the formal claim, coming in 15 days, and then check the batch.</t>
        </is>
      </c>
      <c r="O37" s="4" t="n"/>
    </row>
    <row r="38" ht="40.5" customHeight="1">
      <c r="A38" s="6" t="inlineStr">
        <is>
          <t>m03p</t>
        </is>
      </c>
      <c r="B38" s="6" t="inlineStr">
        <is>
          <t>Cualquiera</t>
        </is>
      </c>
      <c r="C38" s="6" t="inlineStr">
        <is>
          <t>PLANTA</t>
        </is>
      </c>
      <c r="D38" s="6" t="inlineStr">
        <is>
          <t>Falla una bomba de la línea 2 y quedan 5 días de una materia prima clave.</t>
        </is>
      </c>
      <c r="E38" s="6" t="inlineStr">
        <is>
          <t>Priorizar pedidos</t>
        </is>
      </c>
      <c r="F38" s="6" t="inlineStr">
        <is>
          <t>Priorizas los críticos con lo que queda y compras la bomba a un local.</t>
        </is>
      </c>
      <c r="G38" s="6" t="inlineStr">
        <is>
          <t>Costo</t>
        </is>
      </c>
      <c r="H38" s="6" t="inlineStr">
        <is>
          <t>Equilibrada</t>
        </is>
      </c>
      <c r="I38" s="4" t="n"/>
      <c r="J38" s="4" t="n"/>
      <c r="K38" s="4" t="n"/>
      <c r="L38" s="6" t="inlineStr">
        <is>
          <t>A pump on line 2 fails and a key raw material has 5 days left.</t>
        </is>
      </c>
      <c r="M38" s="6" t="inlineStr">
        <is>
          <t>Prioritize orders</t>
        </is>
      </c>
      <c r="N38" s="6" t="inlineStr">
        <is>
          <t>You prioritize critical orders using what is left and buy the pump locally.</t>
        </is>
      </c>
      <c r="O38" s="4" t="n"/>
    </row>
    <row r="39" ht="40.5" customHeight="1">
      <c r="A39" s="6" t="inlineStr">
        <is>
          <t>m03p</t>
        </is>
      </c>
      <c r="B39" s="6" t="inlineStr">
        <is>
          <t>Cualquiera</t>
        </is>
      </c>
      <c r="C39" s="6" t="inlineStr">
        <is>
          <t>PLANTA</t>
        </is>
      </c>
      <c r="D39" s="6" t="inlineStr">
        <is>
          <t>Falla una bomba de la línea 2 y quedan 5 días de una materia prima clave.</t>
        </is>
      </c>
      <c r="E39" s="6" t="inlineStr">
        <is>
          <t>Parche provisorio</t>
        </is>
      </c>
      <c r="F39" s="6" t="inlineStr">
        <is>
          <t>Haces una reparación provisoria por 2 días y sigues a plena carga.</t>
        </is>
      </c>
      <c r="G39" s="6" t="inlineStr">
        <is>
          <t>Costo</t>
        </is>
      </c>
      <c r="H39" s="6" t="inlineStr">
        <is>
          <t>Atajo</t>
        </is>
      </c>
      <c r="I39" s="4" t="n"/>
      <c r="J39" s="4" t="n"/>
      <c r="K39" s="4" t="n"/>
      <c r="L39" s="6" t="inlineStr">
        <is>
          <t>A pump on line 2 fails and a key raw material has 5 days left.</t>
        </is>
      </c>
      <c r="M39" s="6" t="inlineStr">
        <is>
          <t>Temporary patch</t>
        </is>
      </c>
      <c r="N39" s="6" t="inlineStr">
        <is>
          <t>You make a temporary repair over 2 days and keep running at full load.</t>
        </is>
      </c>
      <c r="O39" s="4" t="n"/>
    </row>
    <row r="40" ht="40.5" customHeight="1">
      <c r="A40" s="6" t="inlineStr">
        <is>
          <t>m03p</t>
        </is>
      </c>
      <c r="B40" s="6" t="inlineStr">
        <is>
          <t>Cualquiera</t>
        </is>
      </c>
      <c r="C40" s="6" t="inlineStr">
        <is>
          <t>PLANTA</t>
        </is>
      </c>
      <c r="D40" s="6" t="inlineStr">
        <is>
          <t>Falla una bomba de la línea 2 y quedan 5 días de una materia prima clave.</t>
        </is>
      </c>
      <c r="E40" s="6" t="inlineStr">
        <is>
          <t>Comprar urgente</t>
        </is>
      </c>
      <c r="F40" s="6" t="inlineStr">
        <is>
          <t>Compras la bomba y la materia prima en 24 horas y pagas lo que pidan.</t>
        </is>
      </c>
      <c r="G40" s="6" t="inlineStr">
        <is>
          <t>Costo</t>
        </is>
      </c>
      <c r="H40" s="6" t="inlineStr">
        <is>
          <t>Ceder</t>
        </is>
      </c>
      <c r="I40" s="4" t="n"/>
      <c r="J40" s="4" t="n"/>
      <c r="K40" s="4" t="n"/>
      <c r="L40" s="6" t="inlineStr">
        <is>
          <t>A pump on line 2 fails and a key raw material has 5 days left.</t>
        </is>
      </c>
      <c r="M40" s="6" t="inlineStr">
        <is>
          <t>Buy urgently</t>
        </is>
      </c>
      <c r="N40" s="6" t="inlineStr">
        <is>
          <t>You buy the pump and the raw material within 24 hours and pay what they ask.</t>
        </is>
      </c>
      <c r="O40" s="4" t="n"/>
    </row>
    <row r="41" ht="40.5" customHeight="1">
      <c r="A41" s="6" t="inlineStr">
        <is>
          <t>m03p</t>
        </is>
      </c>
      <c r="B41" s="6" t="inlineStr">
        <is>
          <t>Cualquiera</t>
        </is>
      </c>
      <c r="C41" s="6" t="inlineStr">
        <is>
          <t>PLANTA</t>
        </is>
      </c>
      <c r="D41" s="6" t="inlineStr">
        <is>
          <t>Falla una bomba de la línea 2 y quedan 5 días de una materia prima clave.</t>
        </is>
      </c>
      <c r="E41" s="6" t="inlineStr">
        <is>
          <t>Detener la línea</t>
        </is>
      </c>
      <c r="F41" s="6" t="inlineStr">
        <is>
          <t>Paras la línea 2 hoy para que el proveedor entregue los repuestos.</t>
        </is>
      </c>
      <c r="G41" s="6" t="inlineStr">
        <is>
          <t>Costo</t>
        </is>
      </c>
      <c r="H41" s="6" t="inlineStr">
        <is>
          <t>Pasiva</t>
        </is>
      </c>
      <c r="I41" s="4" t="n"/>
      <c r="J41" s="4" t="n"/>
      <c r="K41" s="4" t="n"/>
      <c r="L41" s="6" t="inlineStr">
        <is>
          <t>A pump on line 2 fails and a key raw material has 5 days left.</t>
        </is>
      </c>
      <c r="M41" s="6" t="inlineStr">
        <is>
          <t>Stop the line</t>
        </is>
      </c>
      <c r="N41" s="6" t="inlineStr">
        <is>
          <t>You stop line 2 today for the supplier to deliver the spare parts.</t>
        </is>
      </c>
      <c r="O41" s="4" t="n"/>
    </row>
    <row r="42" ht="40.5" customHeight="1">
      <c r="A42" s="6" t="inlineStr">
        <is>
          <t>m03e</t>
        </is>
      </c>
      <c r="B42" s="6" t="inlineStr">
        <is>
          <t>Cualquiera</t>
        </is>
      </c>
      <c r="C42" s="6" t="inlineStr">
        <is>
          <t>ENTORNO</t>
        </is>
      </c>
      <c r="D42" s="6" t="inlineStr">
        <is>
          <t>Se anuncia una reforma tributaria minera y 3 clientes grandes frenan compras.</t>
        </is>
      </c>
      <c r="E42" s="6" t="inlineStr">
        <is>
          <t>Ver escenarios</t>
        </is>
      </c>
      <c r="F42" s="6" t="inlineStr">
        <is>
          <t>Conversas por cliente sus escenarios y ofreces descuento solo a pedidos firmes.</t>
        </is>
      </c>
      <c r="G42" s="6" t="inlineStr">
        <is>
          <t>Ventas</t>
        </is>
      </c>
      <c r="H42" s="6" t="inlineStr">
        <is>
          <t>Equilibrada</t>
        </is>
      </c>
      <c r="I42" s="4" t="n"/>
      <c r="J42" s="4" t="n"/>
      <c r="K42" s="4" t="n"/>
      <c r="L42" s="6" t="inlineStr">
        <is>
          <t>A mining tax reform is announced and 3 large clients hold back purchases.</t>
        </is>
      </c>
      <c r="M42" s="6" t="inlineStr">
        <is>
          <t>Map scenarios</t>
        </is>
      </c>
      <c r="N42" s="6" t="inlineStr">
        <is>
          <t>You go through each client's scenarios and give 2% off only to firm orders.</t>
        </is>
      </c>
      <c r="O42" s="4" t="n"/>
    </row>
    <row r="43" ht="40.5" customHeight="1">
      <c r="A43" s="6" t="inlineStr">
        <is>
          <t>m03e</t>
        </is>
      </c>
      <c r="B43" s="6" t="inlineStr">
        <is>
          <t>Cualquiera</t>
        </is>
      </c>
      <c r="C43" s="6" t="inlineStr">
        <is>
          <t>ENTORNO</t>
        </is>
      </c>
      <c r="D43" s="6" t="inlineStr">
        <is>
          <t>Se anuncia una reforma tributaria minera y 3 clientes grandes frenan compras.</t>
        </is>
      </c>
      <c r="E43" s="6" t="inlineStr">
        <is>
          <t>Adelantar ventas</t>
        </is>
      </c>
      <c r="F43" s="6" t="inlineStr">
        <is>
          <t>Das 5% de descuento a quien compre antes de que se apruebe la reforma.</t>
        </is>
      </c>
      <c r="G43" s="6" t="inlineStr">
        <is>
          <t>Ventas</t>
        </is>
      </c>
      <c r="H43" s="6" t="inlineStr">
        <is>
          <t>Atajo</t>
        </is>
      </c>
      <c r="I43" s="4" t="n"/>
      <c r="J43" s="4" t="n"/>
      <c r="K43" s="4" t="n"/>
      <c r="L43" s="6" t="inlineStr">
        <is>
          <t>A mining tax reform is announced and 3 large clients hold back purchases.</t>
        </is>
      </c>
      <c r="M43" s="6" t="inlineStr">
        <is>
          <t>Pull sales forward</t>
        </is>
      </c>
      <c r="N43" s="6" t="inlineStr">
        <is>
          <t>You give 5% off to whoever buys before the reform is approved.</t>
        </is>
      </c>
      <c r="O43" s="4" t="n"/>
    </row>
    <row r="44" ht="40.5" customHeight="1">
      <c r="A44" s="6" t="inlineStr">
        <is>
          <t>m03e</t>
        </is>
      </c>
      <c r="B44" s="6" t="inlineStr">
        <is>
          <t>Cualquiera</t>
        </is>
      </c>
      <c r="C44" s="6" t="inlineStr">
        <is>
          <t>ENTORNO</t>
        </is>
      </c>
      <c r="D44" s="6" t="inlineStr">
        <is>
          <t>Se anuncia una reforma tributaria minera y 3 clientes grandes frenan compras.</t>
        </is>
      </c>
      <c r="E44" s="6" t="inlineStr">
        <is>
          <t>Congelar precios</t>
        </is>
      </c>
      <c r="F44" s="6" t="inlineStr">
        <is>
          <t>Congelas los precios por 12 meses para tranquilizar a los 3 clientes.</t>
        </is>
      </c>
      <c r="G44" s="6" t="inlineStr">
        <is>
          <t>Ventas</t>
        </is>
      </c>
      <c r="H44" s="6" t="inlineStr">
        <is>
          <t>Ceder</t>
        </is>
      </c>
      <c r="I44" s="4" t="n"/>
      <c r="J44" s="4" t="n"/>
      <c r="K44" s="4" t="n"/>
      <c r="L44" s="6" t="inlineStr">
        <is>
          <t>A mining tax reform is announced and 3 large clients hold back purchases.</t>
        </is>
      </c>
      <c r="M44" s="6" t="inlineStr">
        <is>
          <t>Freeze prices</t>
        </is>
      </c>
      <c r="N44" s="6" t="inlineStr">
        <is>
          <t>You freeze prices over 12 months to reassure the 3 clients.</t>
        </is>
      </c>
      <c r="O44" s="4" t="n"/>
    </row>
    <row r="45" ht="40.5" customHeight="1">
      <c r="A45" s="6" t="inlineStr">
        <is>
          <t>m03e</t>
        </is>
      </c>
      <c r="B45" s="6" t="inlineStr">
        <is>
          <t>Cualquiera</t>
        </is>
      </c>
      <c r="C45" s="6" t="inlineStr">
        <is>
          <t>ENTORNO</t>
        </is>
      </c>
      <c r="D45" s="6" t="inlineStr">
        <is>
          <t>Se anuncia una reforma tributaria minera y 3 clientes grandes frenan compras.</t>
        </is>
      </c>
      <c r="E45" s="6" t="inlineStr">
        <is>
          <t>Votación primero</t>
        </is>
      </c>
      <c r="F45" s="6" t="inlineStr">
        <is>
          <t>Esperas la votación de la reforma, en 2 meses, antes de mover el plan.</t>
        </is>
      </c>
      <c r="G45" s="6" t="inlineStr">
        <is>
          <t>Ventas</t>
        </is>
      </c>
      <c r="H45" s="6" t="inlineStr">
        <is>
          <t>Pasiva</t>
        </is>
      </c>
      <c r="I45" s="4" t="n"/>
      <c r="J45" s="4" t="n"/>
      <c r="K45" s="4" t="n"/>
      <c r="L45" s="6" t="inlineStr">
        <is>
          <t>A mining tax reform is announced and 3 large clients hold back purchases.</t>
        </is>
      </c>
      <c r="M45" s="6" t="inlineStr">
        <is>
          <t>Vote comes first</t>
        </is>
      </c>
      <c r="N45" s="6" t="inlineStr">
        <is>
          <t>You wait for the reform vote, in 2 months, before moving the plan.</t>
        </is>
      </c>
      <c r="O45" s="4" t="n"/>
    </row>
    <row r="46" ht="40.5" customHeight="1">
      <c r="A46" s="6" t="inlineStr">
        <is>
          <t>m03s</t>
        </is>
      </c>
      <c r="B46" s="6" t="inlineStr">
        <is>
          <t>Cualquiera</t>
        </is>
      </c>
      <c r="C46" s="6" t="inlineStr">
        <is>
          <t>ESTRATEGIA</t>
        </is>
      </c>
      <c r="D46" s="6" t="inlineStr">
        <is>
          <t>Una oportunidad: un programa de ahorro de agua que 5 mineras preguntaron.</t>
        </is>
      </c>
      <c r="E46" s="6" t="inlineStr">
        <is>
          <t>Piloto acotado</t>
        </is>
      </c>
      <c r="F46" s="6" t="inlineStr">
        <is>
          <t>Lo pruebas 3 meses en un cliente amigo y mides el efecto antes de escalar.</t>
        </is>
      </c>
      <c r="G46" s="6" t="inlineStr">
        <is>
          <t>Ventas</t>
        </is>
      </c>
      <c r="H46" s="6" t="inlineStr">
        <is>
          <t>Equilibrada</t>
        </is>
      </c>
      <c r="I46" s="4" t="n"/>
      <c r="J46" s="4" t="n"/>
      <c r="K46" s="4" t="n"/>
      <c r="L46" s="6" t="inlineStr">
        <is>
          <t>An opportunity: a water-saving program that 5 mines asked about.</t>
        </is>
      </c>
      <c r="M46" s="6" t="inlineStr">
        <is>
          <t>Narrow pilot</t>
        </is>
      </c>
      <c r="N46" s="6" t="inlineStr">
        <is>
          <t>You test it for 3 months at a friendly client and measure the effect.</t>
        </is>
      </c>
      <c r="O46" s="4" t="n"/>
    </row>
    <row r="47" ht="40.5" customHeight="1">
      <c r="A47" s="6" t="inlineStr">
        <is>
          <t>m03s</t>
        </is>
      </c>
      <c r="B47" s="6" t="inlineStr">
        <is>
          <t>Cualquiera</t>
        </is>
      </c>
      <c r="C47" s="6" t="inlineStr">
        <is>
          <t>ESTRATEGIA</t>
        </is>
      </c>
      <c r="D47" s="6" t="inlineStr">
        <is>
          <t>Una oportunidad: un programa de ahorro de agua que 5 mineras preguntaron.</t>
        </is>
      </c>
      <c r="E47" s="6" t="inlineStr">
        <is>
          <t>Lanzar a todos</t>
        </is>
      </c>
      <c r="F47" s="6" t="inlineStr">
        <is>
          <t>Lo ofreces ya a las 5 mineras, con resultados que prometes lograr.</t>
        </is>
      </c>
      <c r="G47" s="6" t="inlineStr">
        <is>
          <t>Ventas</t>
        </is>
      </c>
      <c r="H47" s="6" t="inlineStr">
        <is>
          <t>Atajo</t>
        </is>
      </c>
      <c r="I47" s="4" t="n"/>
      <c r="J47" s="4" t="n"/>
      <c r="K47" s="4" t="n"/>
      <c r="L47" s="6" t="inlineStr">
        <is>
          <t>An opportunity: a water-saving program that 5 mines asked about.</t>
        </is>
      </c>
      <c r="M47" s="6" t="inlineStr">
        <is>
          <t>Launch to all</t>
        </is>
      </c>
      <c r="N47" s="6" t="inlineStr">
        <is>
          <t>You offer it to the 5 mines now, with results you promise to deliver.</t>
        </is>
      </c>
      <c r="O47" s="4" t="n"/>
    </row>
    <row r="48" ht="40.5" customHeight="1">
      <c r="A48" s="6" t="inlineStr">
        <is>
          <t>m03s</t>
        </is>
      </c>
      <c r="B48" s="6" t="inlineStr">
        <is>
          <t>Cualquiera</t>
        </is>
      </c>
      <c r="C48" s="6" t="inlineStr">
        <is>
          <t>ESTRATEGIA</t>
        </is>
      </c>
      <c r="D48" s="6" t="inlineStr">
        <is>
          <t>Una oportunidad: un programa de ahorro de agua que 5 mineras preguntaron.</t>
        </is>
      </c>
      <c r="E48" s="6" t="inlineStr">
        <is>
          <t>Armar propuesta</t>
        </is>
      </c>
      <c r="F48" s="6" t="inlineStr">
        <is>
          <t>Preparas una propuesta con presupuesto y partes cuando la aprueben.</t>
        </is>
      </c>
      <c r="G48" s="6" t="inlineStr">
        <is>
          <t>SG&amp;A</t>
        </is>
      </c>
      <c r="H48" s="6" t="inlineStr">
        <is>
          <t>Ceder</t>
        </is>
      </c>
      <c r="I48" s="4" t="n"/>
      <c r="J48" s="4" t="n"/>
      <c r="K48" s="4" t="n"/>
      <c r="L48" s="6" t="inlineStr">
        <is>
          <t>An opportunity: a water-saving program that 5 mines asked about.</t>
        </is>
      </c>
      <c r="M48" s="6" t="inlineStr">
        <is>
          <t>Draft a proposal</t>
        </is>
      </c>
      <c r="N48" s="6" t="inlineStr">
        <is>
          <t>You prepare a proposal with a budget and start when it is approved.</t>
        </is>
      </c>
      <c r="O48" s="4" t="n"/>
    </row>
    <row r="49" ht="40.5" customHeight="1">
      <c r="A49" s="6" t="inlineStr">
        <is>
          <t>m03s</t>
        </is>
      </c>
      <c r="B49" s="6" t="inlineStr">
        <is>
          <t>Cualquiera</t>
        </is>
      </c>
      <c r="C49" s="6" t="inlineStr">
        <is>
          <t>ESTRATEGIA</t>
        </is>
      </c>
      <c r="D49" s="6" t="inlineStr">
        <is>
          <t>Una oportunidad: un programa de ahorro de agua que 5 mineras preguntaron.</t>
        </is>
      </c>
      <c r="E49" s="6" t="inlineStr">
        <is>
          <t>Otra oportunidad</t>
        </is>
      </c>
      <c r="F49" s="6" t="inlineStr">
        <is>
          <t>Priorizas los 4 proyectos del año y el programa queda para otra oportunidad.</t>
        </is>
      </c>
      <c r="G49" s="6" t="inlineStr">
        <is>
          <t>Ventas</t>
        </is>
      </c>
      <c r="H49" s="6" t="inlineStr">
        <is>
          <t>Pasiva</t>
        </is>
      </c>
      <c r="I49" s="4" t="n"/>
      <c r="J49" s="4" t="n"/>
      <c r="K49" s="4" t="n"/>
      <c r="L49" s="6" t="inlineStr">
        <is>
          <t>An opportunity: a water-saving program that 5 mines asked about.</t>
        </is>
      </c>
      <c r="M49" s="6" t="inlineStr">
        <is>
          <t>Another chance</t>
        </is>
      </c>
      <c r="N49" s="6" t="inlineStr">
        <is>
          <t>You prioritize the 4 projects of the year and park the program.</t>
        </is>
      </c>
      <c r="O49" s="4" t="n"/>
    </row>
    <row r="50" ht="40.5" customHeight="1">
      <c r="A50" s="6" t="inlineStr">
        <is>
          <t>m04c</t>
        </is>
      </c>
      <c r="B50" s="6" t="inlineStr">
        <is>
          <t>Cualquiera</t>
        </is>
      </c>
      <c r="C50" s="6" t="inlineStr">
        <is>
          <t>CLIENTE</t>
        </is>
      </c>
      <c r="D50" s="6" t="inlineStr">
        <is>
          <t>Un cliente recorta 10% su presupuesto de insumos y pide bajar los precios.</t>
        </is>
      </c>
      <c r="E50" s="6" t="inlineStr">
        <is>
          <t>Bajar su consumo</t>
        </is>
      </c>
      <c r="F50" s="6" t="inlineStr">
        <is>
          <t>Ajustas la dosis para que gaste 10% menos; tú mantienes los precios.</t>
        </is>
      </c>
      <c r="G50" s="6" t="inlineStr">
        <is>
          <t>Ventas</t>
        </is>
      </c>
      <c r="H50" s="6" t="inlineStr">
        <is>
          <t>Equilibrada</t>
        </is>
      </c>
      <c r="I50" s="4" t="n"/>
      <c r="J50" s="4" t="n"/>
      <c r="K50" s="4" t="n"/>
      <c r="L50" s="6" t="inlineStr">
        <is>
          <t>A client cuts its input budget 10% and asks for lower prices.</t>
        </is>
      </c>
      <c r="M50" s="6" t="inlineStr">
        <is>
          <t>Lower their usage</t>
        </is>
      </c>
      <c r="N50" s="6" t="inlineStr">
        <is>
          <t>You adjust the dosing so it spends 10% less; you keep your prices.</t>
        </is>
      </c>
      <c r="O50" s="4" t="n"/>
    </row>
    <row r="51" ht="40.5" customHeight="1">
      <c r="A51" s="6" t="inlineStr">
        <is>
          <t>m04c</t>
        </is>
      </c>
      <c r="B51" s="6" t="inlineStr">
        <is>
          <t>Cualquiera</t>
        </is>
      </c>
      <c r="C51" s="6" t="inlineStr">
        <is>
          <t>CLIENTE</t>
        </is>
      </c>
      <c r="D51" s="6" t="inlineStr">
        <is>
          <t>Un cliente recorta 10% su presupuesto de insumos y pide bajar los precios.</t>
        </is>
      </c>
      <c r="E51" s="6" t="inlineStr">
        <is>
          <t>Cambiar el mix</t>
        </is>
      </c>
      <c r="F51" s="6" t="inlineStr">
        <is>
          <t>Rebajas 5% el producto principal y subes 5% los servicios del contrato.</t>
        </is>
      </c>
      <c r="G51" s="6" t="inlineStr">
        <is>
          <t>Ventas</t>
        </is>
      </c>
      <c r="H51" s="6" t="inlineStr">
        <is>
          <t>Atajo</t>
        </is>
      </c>
      <c r="I51" s="4" t="n"/>
      <c r="J51" s="4" t="n"/>
      <c r="K51" s="4" t="n"/>
      <c r="L51" s="6" t="inlineStr">
        <is>
          <t>A client cuts its input budget 10% and asks for lower prices.</t>
        </is>
      </c>
      <c r="M51" s="6" t="inlineStr">
        <is>
          <t>Change the mix</t>
        </is>
      </c>
      <c r="N51" s="6" t="inlineStr">
        <is>
          <t>You cut the main product 5% and recover it with 5% more on services.</t>
        </is>
      </c>
      <c r="O51" s="4" t="n"/>
    </row>
    <row r="52" ht="40.5" customHeight="1">
      <c r="A52" s="6" t="inlineStr">
        <is>
          <t>m04c</t>
        </is>
      </c>
      <c r="B52" s="6" t="inlineStr">
        <is>
          <t>Cualquiera</t>
        </is>
      </c>
      <c r="C52" s="6" t="inlineStr">
        <is>
          <t>CLIENTE</t>
        </is>
      </c>
      <c r="D52" s="6" t="inlineStr">
        <is>
          <t>Un cliente recorta 10% su presupuesto de insumos y pide bajar los precios.</t>
        </is>
      </c>
      <c r="E52" s="6" t="inlineStr">
        <is>
          <t>Rebajar el contrato</t>
        </is>
      </c>
      <c r="F52" s="6" t="inlineStr">
        <is>
          <t>Rebajas 5% por 12 meses el precio del contrato, y el cliente se queda.</t>
        </is>
      </c>
      <c r="G52" s="6" t="inlineStr">
        <is>
          <t>Incentivos</t>
        </is>
      </c>
      <c r="H52" s="6" t="inlineStr">
        <is>
          <t>Ceder</t>
        </is>
      </c>
      <c r="I52" s="4" t="n"/>
      <c r="J52" s="4" t="n"/>
      <c r="K52" s="4" t="n"/>
      <c r="L52" s="6" t="inlineStr">
        <is>
          <t>A client cuts its input budget 10% and asks for lower prices.</t>
        </is>
      </c>
      <c r="M52" s="6" t="inlineStr">
        <is>
          <t>Cut the contract</t>
        </is>
      </c>
      <c r="N52" s="6" t="inlineStr">
        <is>
          <t>You cut the contract price 5% over 12 months, and the client stays.</t>
        </is>
      </c>
      <c r="O52" s="4" t="n"/>
    </row>
    <row r="53" ht="40.5" customHeight="1">
      <c r="A53" s="6" t="inlineStr">
        <is>
          <t>m04c</t>
        </is>
      </c>
      <c r="B53" s="6" t="inlineStr">
        <is>
          <t>Cualquiera</t>
        </is>
      </c>
      <c r="C53" s="6" t="inlineStr">
        <is>
          <t>CLIENTE</t>
        </is>
      </c>
      <c r="D53" s="6" t="inlineStr">
        <is>
          <t>Un cliente recorta 10% su presupuesto de insumos y pide bajar los precios.</t>
        </is>
      </c>
      <c r="E53" s="6" t="inlineStr">
        <is>
          <t>Sostener términos</t>
        </is>
      </c>
      <c r="F53" s="6" t="inlineStr">
        <is>
          <t>Mantienes los términos vigentes y el cliente decide en 30 días si se queda.</t>
        </is>
      </c>
      <c r="G53" s="6" t="inlineStr">
        <is>
          <t>Ventas</t>
        </is>
      </c>
      <c r="H53" s="6" t="inlineStr">
        <is>
          <t>Pasiva</t>
        </is>
      </c>
      <c r="I53" s="4" t="n"/>
      <c r="J53" s="4" t="n"/>
      <c r="K53" s="4" t="n"/>
      <c r="L53" s="6" t="inlineStr">
        <is>
          <t>A client cuts its input budget 10% and asks for lower prices.</t>
        </is>
      </c>
      <c r="M53" s="6" t="inlineStr">
        <is>
          <t>Keep the offer</t>
        </is>
      </c>
      <c r="N53" s="6" t="inlineStr">
        <is>
          <t>You keep the offer on the same terms and the client decides within 30 days.</t>
        </is>
      </c>
      <c r="O53" s="4" t="n"/>
    </row>
    <row r="54" ht="27" customHeight="1">
      <c r="A54" s="6" t="inlineStr">
        <is>
          <t>m04p</t>
        </is>
      </c>
      <c r="B54" s="6" t="inlineStr">
        <is>
          <t>Cualquiera</t>
        </is>
      </c>
      <c r="C54" s="6" t="inlineStr">
        <is>
          <t>PLANTA</t>
        </is>
      </c>
      <c r="D54" s="6" t="inlineStr">
        <is>
          <t>Se van 2 de 9 operadores clave y los turnos quedan incompletos.</t>
        </is>
      </c>
      <c r="E54" s="6" t="inlineStr">
        <is>
          <t>Plan de relevo</t>
        </is>
      </c>
      <c r="F54" s="6" t="inlineStr">
        <is>
          <t>Capacitas a dos jóvenes con 6 semanas de práctica y reorganizas los turnos.</t>
        </is>
      </c>
      <c r="G54" s="6" t="inlineStr">
        <is>
          <t>Costo</t>
        </is>
      </c>
      <c r="H54" s="6" t="inlineStr">
        <is>
          <t>Equilibrada</t>
        </is>
      </c>
      <c r="I54" s="4" t="n"/>
      <c r="J54" s="4" t="n"/>
      <c r="K54" s="4" t="n"/>
      <c r="L54" s="6" t="inlineStr">
        <is>
          <t>2 of 9 key operators leave and the shifts are left short.</t>
        </is>
      </c>
      <c r="M54" s="6" t="inlineStr">
        <is>
          <t>Relief plan</t>
        </is>
      </c>
      <c r="N54" s="6" t="inlineStr">
        <is>
          <t>You train two juniors over 6 weeks of practice and reorganize the shifts.</t>
        </is>
      </c>
      <c r="O54" s="4" t="n"/>
    </row>
    <row r="55" ht="27" customHeight="1">
      <c r="A55" s="6" t="inlineStr">
        <is>
          <t>m04p</t>
        </is>
      </c>
      <c r="B55" s="6" t="inlineStr">
        <is>
          <t>Cualquiera</t>
        </is>
      </c>
      <c r="C55" s="6" t="inlineStr">
        <is>
          <t>PLANTA</t>
        </is>
      </c>
      <c r="D55" s="6" t="inlineStr">
        <is>
          <t>Se van 2 de 9 operadores clave y los turnos quedan incompletos.</t>
        </is>
      </c>
      <c r="E55" s="6" t="inlineStr">
        <is>
          <t>Horas extra</t>
        </is>
      </c>
      <c r="F55" s="6" t="inlineStr">
        <is>
          <t>Pides turnos dobles por un trimestre al equipo que queda.</t>
        </is>
      </c>
      <c r="G55" s="6" t="inlineStr">
        <is>
          <t>Costo</t>
        </is>
      </c>
      <c r="H55" s="6" t="inlineStr">
        <is>
          <t>Atajo</t>
        </is>
      </c>
      <c r="I55" s="4" t="n"/>
      <c r="J55" s="4" t="n"/>
      <c r="K55" s="4" t="n"/>
      <c r="L55" s="6" t="inlineStr">
        <is>
          <t>2 of 9 key operators leave and the shifts are left short.</t>
        </is>
      </c>
      <c r="M55" s="6" t="inlineStr">
        <is>
          <t>Overtime</t>
        </is>
      </c>
      <c r="N55" s="6" t="inlineStr">
        <is>
          <t>You put the remaining team on double shifts during a quarter.</t>
        </is>
      </c>
      <c r="O55" s="4" t="n"/>
    </row>
    <row r="56" ht="27" customHeight="1">
      <c r="A56" s="6" t="inlineStr">
        <is>
          <t>m04p</t>
        </is>
      </c>
      <c r="B56" s="6" t="inlineStr">
        <is>
          <t>Cualquiera</t>
        </is>
      </c>
      <c r="C56" s="6" t="inlineStr">
        <is>
          <t>PLANTA</t>
        </is>
      </c>
      <c r="D56" s="6" t="inlineStr">
        <is>
          <t>Se van 2 de 9 operadores clave y los turnos quedan incompletos.</t>
        </is>
      </c>
      <c r="E56" s="6" t="inlineStr">
        <is>
          <t>Subir sueldos</t>
        </is>
      </c>
      <c r="F56" s="6" t="inlineStr">
        <is>
          <t>Subes 8% el sueldo de cada operador del turno y nadie más se va.</t>
        </is>
      </c>
      <c r="G56" s="6" t="inlineStr">
        <is>
          <t>Costo</t>
        </is>
      </c>
      <c r="H56" s="6" t="inlineStr">
        <is>
          <t>Ceder</t>
        </is>
      </c>
      <c r="I56" s="4" t="n"/>
      <c r="J56" s="4" t="n"/>
      <c r="K56" s="4" t="n"/>
      <c r="L56" s="6" t="inlineStr">
        <is>
          <t>2 of 9 key operators leave and the shifts are left short.</t>
        </is>
      </c>
      <c r="M56" s="6" t="inlineStr">
        <is>
          <t>Raise wages</t>
        </is>
      </c>
      <c r="N56" s="6" t="inlineStr">
        <is>
          <t>You raise every operator's pay on the shift 8% and nobody else leaves.</t>
        </is>
      </c>
      <c r="O56" s="4" t="n"/>
    </row>
    <row r="57" ht="27" customHeight="1">
      <c r="A57" s="6" t="inlineStr">
        <is>
          <t>m04p</t>
        </is>
      </c>
      <c r="B57" s="6" t="inlineStr">
        <is>
          <t>Cualquiera</t>
        </is>
      </c>
      <c r="C57" s="6" t="inlineStr">
        <is>
          <t>PLANTA</t>
        </is>
      </c>
      <c r="D57" s="6" t="inlineStr">
        <is>
          <t>Se van 2 de 9 operadores clave y los turnos quedan incompletos.</t>
        </is>
      </c>
      <c r="E57" s="6" t="inlineStr">
        <is>
          <t>Cupos vacantes</t>
        </is>
      </c>
      <c r="F57" s="6" t="inlineStr">
        <is>
          <t>Reasignas tareas durante el trimestre y los 2 cupos siguen vacantes.</t>
        </is>
      </c>
      <c r="G57" s="6" t="inlineStr">
        <is>
          <t>Costo</t>
        </is>
      </c>
      <c r="H57" s="6" t="inlineStr">
        <is>
          <t>Pasiva</t>
        </is>
      </c>
      <c r="I57" s="4" t="n"/>
      <c r="J57" s="4" t="n"/>
      <c r="K57" s="4" t="n"/>
      <c r="L57" s="6" t="inlineStr">
        <is>
          <t>2 of 9 key operators leave and the shifts are left short.</t>
        </is>
      </c>
      <c r="M57" s="6" t="inlineStr">
        <is>
          <t>Vacant slots</t>
        </is>
      </c>
      <c r="N57" s="6" t="inlineStr">
        <is>
          <t>You reassign tasks during the quarter and the 2 slots stay vacant.</t>
        </is>
      </c>
      <c r="O57" s="4" t="n"/>
    </row>
    <row r="58" ht="40.5" customHeight="1">
      <c r="A58" s="6" t="inlineStr">
        <is>
          <t>m04e</t>
        </is>
      </c>
      <c r="B58" s="6" t="inlineStr">
        <is>
          <t>Cualquiera</t>
        </is>
      </c>
      <c r="C58" s="6" t="inlineStr">
        <is>
          <t>ENTORNO</t>
        </is>
      </c>
      <c r="D58" s="6" t="inlineStr">
        <is>
          <t>Sube el royalty minero y los clientes revisan todos sus contratos de insumos.</t>
        </is>
      </c>
      <c r="E58" s="6" t="inlineStr">
        <is>
          <t>Contratos por valor</t>
        </is>
      </c>
      <c r="F58" s="6" t="inlineStr">
        <is>
          <t>Propones contratos atados al ahorro que generas, no solo al volumen.</t>
        </is>
      </c>
      <c r="G58" s="6" t="inlineStr">
        <is>
          <t>Ventas</t>
        </is>
      </c>
      <c r="H58" s="6" t="inlineStr">
        <is>
          <t>Equilibrada</t>
        </is>
      </c>
      <c r="I58" s="4" t="n"/>
      <c r="J58" s="4" t="n"/>
      <c r="K58" s="4" t="n"/>
      <c r="L58" s="6" t="inlineStr">
        <is>
          <t>The mining royalty rises and clients review all their input contracts.</t>
        </is>
      </c>
      <c r="M58" s="6" t="inlineStr">
        <is>
          <t>Value-based deals</t>
        </is>
      </c>
      <c r="N58" s="6" t="inlineStr">
        <is>
          <t>You propose contracts tied to the savings you create, not only volume.</t>
        </is>
      </c>
      <c r="O58" s="4" t="n"/>
    </row>
    <row r="59" ht="40.5" customHeight="1">
      <c r="A59" s="6" t="inlineStr">
        <is>
          <t>m04e</t>
        </is>
      </c>
      <c r="B59" s="6" t="inlineStr">
        <is>
          <t>Cualquiera</t>
        </is>
      </c>
      <c r="C59" s="6" t="inlineStr">
        <is>
          <t>ENTORNO</t>
        </is>
      </c>
      <c r="D59" s="6" t="inlineStr">
        <is>
          <t>Sube el royalty minero y los clientes revisan todos sus contratos de insumos.</t>
        </is>
      </c>
      <c r="E59" s="6" t="inlineStr">
        <is>
          <t>Precio a cautivos</t>
        </is>
      </c>
      <c r="F59" s="6" t="inlineStr">
        <is>
          <t>Subes 6% el precio a los clientes que no tienen otro proveedor calificado.</t>
        </is>
      </c>
      <c r="G59" s="6" t="inlineStr">
        <is>
          <t>Ventas</t>
        </is>
      </c>
      <c r="H59" s="6" t="inlineStr">
        <is>
          <t>Atajo</t>
        </is>
      </c>
      <c r="I59" s="4" t="n"/>
      <c r="J59" s="4" t="n"/>
      <c r="K59" s="4" t="n"/>
      <c r="L59" s="6" t="inlineStr">
        <is>
          <t>The mining royalty rises and clients review all their input contracts.</t>
        </is>
      </c>
      <c r="M59" s="6" t="inlineStr">
        <is>
          <t>Squeeze the captive</t>
        </is>
      </c>
      <c r="N59" s="6" t="inlineStr">
        <is>
          <t>You raise prices 6% for clients that have no other qualified supplier.</t>
        </is>
      </c>
      <c r="O59" s="4" t="n"/>
    </row>
    <row r="60" ht="40.5" customHeight="1">
      <c r="A60" s="6" t="inlineStr">
        <is>
          <t>m04e</t>
        </is>
      </c>
      <c r="B60" s="6" t="inlineStr">
        <is>
          <t>Cualquiera</t>
        </is>
      </c>
      <c r="C60" s="6" t="inlineStr">
        <is>
          <t>ENTORNO</t>
        </is>
      </c>
      <c r="D60" s="6" t="inlineStr">
        <is>
          <t>Sube el royalty minero y los clientes revisan todos sus contratos de insumos.</t>
        </is>
      </c>
      <c r="E60" s="6" t="inlineStr">
        <is>
          <t>Ofrecer rebaja</t>
        </is>
      </c>
      <c r="F60" s="6" t="inlineStr">
        <is>
          <t>Ofreces 3% de rebaja a los clientes para fidelizarlos antes de que pidan.</t>
        </is>
      </c>
      <c r="G60" s="6" t="inlineStr">
        <is>
          <t>Incentivos</t>
        </is>
      </c>
      <c r="H60" s="6" t="inlineStr">
        <is>
          <t>Ceder</t>
        </is>
      </c>
      <c r="I60" s="4" t="n"/>
      <c r="J60" s="4" t="n"/>
      <c r="K60" s="4" t="n"/>
      <c r="L60" s="6" t="inlineStr">
        <is>
          <t>The mining royalty rises and clients review all their input contracts.</t>
        </is>
      </c>
      <c r="M60" s="6" t="inlineStr">
        <is>
          <t>Price break</t>
        </is>
      </c>
      <c r="N60" s="6" t="inlineStr">
        <is>
          <t>You offer clients 3% off to keep them loyal before they ask.</t>
        </is>
      </c>
      <c r="O60" s="4" t="n"/>
    </row>
    <row r="61" ht="40.5" customHeight="1">
      <c r="A61" s="6" t="inlineStr">
        <is>
          <t>m04e</t>
        </is>
      </c>
      <c r="B61" s="6" t="inlineStr">
        <is>
          <t>Cualquiera</t>
        </is>
      </c>
      <c r="C61" s="6" t="inlineStr">
        <is>
          <t>ENTORNO</t>
        </is>
      </c>
      <c r="D61" s="6" t="inlineStr">
        <is>
          <t>Sube el royalty minero y los clientes revisan todos sus contratos de insumos.</t>
        </is>
      </c>
      <c r="E61" s="6" t="inlineStr">
        <is>
          <t>Contestar pedidos</t>
        </is>
      </c>
      <c r="F61" s="6" t="inlineStr">
        <is>
          <t>Contestas las peticiones de renegociar a medida que llegan de las mineras.</t>
        </is>
      </c>
      <c r="G61" s="6" t="inlineStr">
        <is>
          <t>Ventas</t>
        </is>
      </c>
      <c r="H61" s="6" t="inlineStr">
        <is>
          <t>Pasiva</t>
        </is>
      </c>
      <c r="I61" s="4" t="n"/>
      <c r="J61" s="4" t="n"/>
      <c r="K61" s="4" t="n"/>
      <c r="L61" s="6" t="inlineStr">
        <is>
          <t>The mining royalty rises and clients review all their input contracts.</t>
        </is>
      </c>
      <c r="M61" s="6" t="inlineStr">
        <is>
          <t>Handle requests</t>
        </is>
      </c>
      <c r="N61" s="6" t="inlineStr">
        <is>
          <t>You handle renegotiation requests as they come in from the mines.</t>
        </is>
      </c>
      <c r="O61" s="4" t="n"/>
    </row>
    <row r="62" ht="27" customHeight="1">
      <c r="A62" s="6" t="inlineStr">
        <is>
          <t>m04s</t>
        </is>
      </c>
      <c r="B62" s="6" t="inlineStr">
        <is>
          <t>Cualquiera</t>
        </is>
      </c>
      <c r="C62" s="6" t="inlineStr">
        <is>
          <t>ESTRATEGIA</t>
        </is>
      </c>
      <c r="D62" s="6" t="inlineStr">
        <is>
          <t>Corporativo pide bajar 5% el SG&amp;A desde el próximo mes.</t>
        </is>
      </c>
      <c r="E62" s="6" t="inlineStr">
        <is>
          <t>Recorte selectivo</t>
        </is>
      </c>
      <c r="F62" s="6" t="inlineStr">
        <is>
          <t>Recortas viajes y consultorías y proteges visitas a clientes y medición.</t>
        </is>
      </c>
      <c r="G62" s="6" t="inlineStr">
        <is>
          <t>SG&amp;A</t>
        </is>
      </c>
      <c r="H62" s="6" t="inlineStr">
        <is>
          <t>Equilibrada</t>
        </is>
      </c>
      <c r="I62" s="4" t="n"/>
      <c r="J62" s="4" t="n"/>
      <c r="K62" s="4" t="n"/>
      <c r="L62" s="6" t="inlineStr">
        <is>
          <t>Corporate asks to cut SG&amp;A 5% starting next month.</t>
        </is>
      </c>
      <c r="M62" s="6" t="inlineStr">
        <is>
          <t>Selective cut</t>
        </is>
      </c>
      <c r="N62" s="6" t="inlineStr">
        <is>
          <t>You cut travel and consulting and protect client visits and measurement.</t>
        </is>
      </c>
      <c r="O62" s="4" t="n"/>
    </row>
    <row r="63" ht="27" customHeight="1">
      <c r="A63" s="6" t="inlineStr">
        <is>
          <t>m04s</t>
        </is>
      </c>
      <c r="B63" s="6" t="inlineStr">
        <is>
          <t>Cualquiera</t>
        </is>
      </c>
      <c r="C63" s="6" t="inlineStr">
        <is>
          <t>ESTRATEGIA</t>
        </is>
      </c>
      <c r="D63" s="6" t="inlineStr">
        <is>
          <t>Corporativo pide bajar 5% el SG&amp;A desde el próximo mes.</t>
        </is>
      </c>
      <c r="E63" s="6" t="inlineStr">
        <is>
          <t>Recorte parejo</t>
        </is>
      </c>
      <c r="F63" s="6" t="inlineStr">
        <is>
          <t>Recortas cada partida 5% parejo para llegar a la meta de corporativo.</t>
        </is>
      </c>
      <c r="G63" s="6" t="inlineStr">
        <is>
          <t>SG&amp;A</t>
        </is>
      </c>
      <c r="H63" s="6" t="inlineStr">
        <is>
          <t>Atajo</t>
        </is>
      </c>
      <c r="I63" s="4" t="n"/>
      <c r="J63" s="4" t="n"/>
      <c r="K63" s="4" t="n"/>
      <c r="L63" s="6" t="inlineStr">
        <is>
          <t>Corporate asks to cut SG&amp;A 5% starting next month.</t>
        </is>
      </c>
      <c r="M63" s="6" t="inlineStr">
        <is>
          <t>Flat cut</t>
        </is>
      </c>
      <c r="N63" s="6" t="inlineStr">
        <is>
          <t>You cut every line 5% evenly to reach corporate's target.</t>
        </is>
      </c>
      <c r="O63" s="4" t="n"/>
    </row>
    <row r="64" ht="27" customHeight="1">
      <c r="A64" s="6" t="inlineStr">
        <is>
          <t>m04s</t>
        </is>
      </c>
      <c r="B64" s="6" t="inlineStr">
        <is>
          <t>Cualquiera</t>
        </is>
      </c>
      <c r="C64" s="6" t="inlineStr">
        <is>
          <t>ESTRATEGIA</t>
        </is>
      </c>
      <c r="D64" s="6" t="inlineStr">
        <is>
          <t>Corporativo pide bajar 5% el SG&amp;A desde el próximo mes.</t>
        </is>
      </c>
      <c r="E64" s="6" t="inlineStr">
        <is>
          <t>Pedir excepción</t>
        </is>
      </c>
      <c r="F64" s="6" t="inlineStr">
        <is>
          <t>Pides una excepción con el argumento del plan comercial de este semestre.</t>
        </is>
      </c>
      <c r="G64" s="6" t="inlineStr">
        <is>
          <t>SG&amp;A</t>
        </is>
      </c>
      <c r="H64" s="6" t="inlineStr">
        <is>
          <t>Ceder</t>
        </is>
      </c>
      <c r="I64" s="4" t="n"/>
      <c r="J64" s="4" t="n"/>
      <c r="K64" s="4" t="n"/>
      <c r="L64" s="6" t="inlineStr">
        <is>
          <t>Corporate asks to cut SG&amp;A 5% starting next month.</t>
        </is>
      </c>
      <c r="M64" s="6" t="inlineStr">
        <is>
          <t>Ask for exemption</t>
        </is>
      </c>
      <c r="N64" s="6" t="inlineStr">
        <is>
          <t>You ask for an exemption citing this half-year's commercial plan.</t>
        </is>
      </c>
      <c r="O64" s="4" t="n"/>
    </row>
    <row r="65" ht="27" customHeight="1">
      <c r="A65" s="6" t="inlineStr">
        <is>
          <t>m04s</t>
        </is>
      </c>
      <c r="B65" s="6" t="inlineStr">
        <is>
          <t>Cualquiera</t>
        </is>
      </c>
      <c r="C65" s="6" t="inlineStr">
        <is>
          <t>ESTRATEGIA</t>
        </is>
      </c>
      <c r="D65" s="6" t="inlineStr">
        <is>
          <t>Corporativo pide bajar 5% el SG&amp;A desde el próximo mes.</t>
        </is>
      </c>
      <c r="E65" s="6" t="inlineStr">
        <is>
          <t>Agendar revisión</t>
        </is>
      </c>
      <c r="F65" s="6" t="inlineStr">
        <is>
          <t>Llevas la orden a la reunión de presupuesto de fin de trimestre.</t>
        </is>
      </c>
      <c r="G65" s="6" t="inlineStr">
        <is>
          <t>SG&amp;A</t>
        </is>
      </c>
      <c r="H65" s="6" t="inlineStr">
        <is>
          <t>Pasiva</t>
        </is>
      </c>
      <c r="I65" s="4" t="n"/>
      <c r="J65" s="4" t="n"/>
      <c r="K65" s="4" t="n"/>
      <c r="L65" s="6" t="inlineStr">
        <is>
          <t>Corporate asks to cut SG&amp;A 5% starting next month.</t>
        </is>
      </c>
      <c r="M65" s="6" t="inlineStr">
        <is>
          <t>Schedule a review</t>
        </is>
      </c>
      <c r="N65" s="6" t="inlineStr">
        <is>
          <t>You take the order to the budget meeting at quarter end.</t>
        </is>
      </c>
      <c r="O65" s="4" t="n"/>
    </row>
    <row r="66" ht="27" customHeight="1">
      <c r="A66" s="6" t="inlineStr">
        <is>
          <t>m05c</t>
        </is>
      </c>
      <c r="B66" s="6" t="inlineStr">
        <is>
          <t>Cualquiera</t>
        </is>
      </c>
      <c r="C66" s="6" t="inlineStr">
        <is>
          <t>CLIENTE</t>
        </is>
      </c>
      <c r="D66" s="6" t="inlineStr">
        <is>
          <t>Un cliente (9% de tus ventas) pide visitas semanales sin pagar más.</t>
        </is>
      </c>
      <c r="E66" s="6" t="inlineStr">
        <is>
          <t>Visitas por demanda</t>
        </is>
      </c>
      <c r="F66" s="6" t="inlineStr">
        <is>
          <t>Ofreces monitoreo remoto para que se visite solo si el dato lo pide.</t>
        </is>
      </c>
      <c r="G66" s="6" t="inlineStr">
        <is>
          <t>Direct Chg</t>
        </is>
      </c>
      <c r="H66" s="6" t="inlineStr">
        <is>
          <t>Equilibrada</t>
        </is>
      </c>
      <c r="I66" s="4" t="n"/>
      <c r="J66" s="4" t="n"/>
      <c r="K66" s="4" t="n"/>
      <c r="L66" s="6" t="inlineStr">
        <is>
          <t>A client (9% of your sales) asks for weekly visits at no extra charge.</t>
        </is>
      </c>
      <c r="M66" s="6" t="inlineStr">
        <is>
          <t>Visits on demand</t>
        </is>
      </c>
      <c r="N66" s="6" t="inlineStr">
        <is>
          <t>You offer remote monitoring so that visits happen only when the data asks.</t>
        </is>
      </c>
      <c r="O66" s="4" t="n"/>
    </row>
    <row r="67" ht="27" customHeight="1">
      <c r="A67" s="6" t="inlineStr">
        <is>
          <t>m05c</t>
        </is>
      </c>
      <c r="B67" s="6" t="inlineStr">
        <is>
          <t>Cualquiera</t>
        </is>
      </c>
      <c r="C67" s="6" t="inlineStr">
        <is>
          <t>CLIENTE</t>
        </is>
      </c>
      <c r="D67" s="6" t="inlineStr">
        <is>
          <t>Un cliente (9% de tus ventas) pide visitas semanales sin pagar más.</t>
        </is>
      </c>
      <c r="E67" s="6" t="inlineStr">
        <is>
          <t>Técnico junior</t>
        </is>
      </c>
      <c r="F67" s="6" t="inlineStr">
        <is>
          <t>Aceptas las visitas semanales con un técnico junior y reduces el gasto 40%.</t>
        </is>
      </c>
      <c r="G67" s="6" t="inlineStr">
        <is>
          <t>Direct Chg</t>
        </is>
      </c>
      <c r="H67" s="6" t="inlineStr">
        <is>
          <t>Atajo</t>
        </is>
      </c>
      <c r="I67" s="4" t="n"/>
      <c r="J67" s="4" t="n"/>
      <c r="K67" s="4" t="n"/>
      <c r="L67" s="6" t="inlineStr">
        <is>
          <t>A client (9% of your sales) asks for weekly visits at no extra charge.</t>
        </is>
      </c>
      <c r="M67" s="6" t="inlineStr">
        <is>
          <t>Junior technician</t>
        </is>
      </c>
      <c r="N67" s="6" t="inlineStr">
        <is>
          <t>You accept weekly visits with a junior technician and cut spending 40%.</t>
        </is>
      </c>
      <c r="O67" s="4" t="n"/>
    </row>
    <row r="68" ht="27" customHeight="1">
      <c r="A68" s="6" t="inlineStr">
        <is>
          <t>m05c</t>
        </is>
      </c>
      <c r="B68" s="6" t="inlineStr">
        <is>
          <t>Cualquiera</t>
        </is>
      </c>
      <c r="C68" s="6" t="inlineStr">
        <is>
          <t>CLIENTE</t>
        </is>
      </c>
      <c r="D68" s="6" t="inlineStr">
        <is>
          <t>Un cliente (9% de tus ventas) pide visitas semanales sin pagar más.</t>
        </is>
      </c>
      <c r="E68" s="6" t="inlineStr">
        <is>
          <t>Visitas semanales</t>
        </is>
      </c>
      <c r="F68" s="6" t="inlineStr">
        <is>
          <t>Concedes 4 visitas por mes por cuenta tuya y absorbes el costo del servicio.</t>
        </is>
      </c>
      <c r="G68" s="6" t="inlineStr">
        <is>
          <t>Direct Chg</t>
        </is>
      </c>
      <c r="H68" s="6" t="inlineStr">
        <is>
          <t>Ceder</t>
        </is>
      </c>
      <c r="I68" s="4" t="n"/>
      <c r="J68" s="4" t="n"/>
      <c r="K68" s="4" t="n"/>
      <c r="L68" s="6" t="inlineStr">
        <is>
          <t>A client (9% of your sales) asks for weekly visits at no extra charge.</t>
        </is>
      </c>
      <c r="M68" s="6" t="inlineStr">
        <is>
          <t>Weekly visits</t>
        </is>
      </c>
      <c r="N68" s="6" t="inlineStr">
        <is>
          <t>You grant 4 visits a month at your own cost and carry the service cost.</t>
        </is>
      </c>
      <c r="O68" s="4" t="n"/>
    </row>
    <row r="69" ht="27" customHeight="1">
      <c r="A69" s="6" t="inlineStr">
        <is>
          <t>m05c</t>
        </is>
      </c>
      <c r="B69" s="6" t="inlineStr">
        <is>
          <t>Cualquiera</t>
        </is>
      </c>
      <c r="C69" s="6" t="inlineStr">
        <is>
          <t>CLIENTE</t>
        </is>
      </c>
      <c r="D69" s="6" t="inlineStr">
        <is>
          <t>Un cliente (9% de tus ventas) pide visitas semanales sin pagar más.</t>
        </is>
      </c>
      <c r="E69" s="6" t="inlineStr">
        <is>
          <t>Pasar a Operaciones</t>
        </is>
      </c>
      <c r="F69" s="6" t="inlineStr">
        <is>
          <t>Pasas la solicitud a Operaciones y ofreces respuesta con fecha en 20 días.</t>
        </is>
      </c>
      <c r="G69" s="6" t="inlineStr">
        <is>
          <t>Ventas</t>
        </is>
      </c>
      <c r="H69" s="6" t="inlineStr">
        <is>
          <t>Pasiva</t>
        </is>
      </c>
      <c r="I69" s="4" t="n"/>
      <c r="J69" s="4" t="n"/>
      <c r="K69" s="4" t="n"/>
      <c r="L69" s="6" t="inlineStr">
        <is>
          <t>A client (9% of your sales) asks for weekly visits at no extra charge.</t>
        </is>
      </c>
      <c r="M69" s="6" t="inlineStr">
        <is>
          <t>Route to Ops</t>
        </is>
      </c>
      <c r="N69" s="6" t="inlineStr">
        <is>
          <t>You pass the request to Operations and reply with a date in 20 days.</t>
        </is>
      </c>
      <c r="O69" s="4" t="n"/>
    </row>
    <row r="70" ht="40.5" customHeight="1">
      <c r="A70" s="6" t="inlineStr">
        <is>
          <t>m05p</t>
        </is>
      </c>
      <c r="B70" s="6" t="inlineStr">
        <is>
          <t>Cualquiera</t>
        </is>
      </c>
      <c r="C70" s="6" t="inlineStr">
        <is>
          <t>PLANTA</t>
        </is>
      </c>
      <c r="D70" s="6" t="inlineStr">
        <is>
          <t>Hay un incidente sin heridos en la planta y en 10 días llega una auditoría.</t>
        </is>
      </c>
      <c r="E70" s="6" t="inlineStr">
        <is>
          <t>Investigar causa</t>
        </is>
      </c>
      <c r="F70" s="6" t="inlineStr">
        <is>
          <t>Detienes la zona 2 días con el equipo y corriges el procedimiento.</t>
        </is>
      </c>
      <c r="G70" s="6" t="inlineStr">
        <is>
          <t>Costo</t>
        </is>
      </c>
      <c r="H70" s="6" t="inlineStr">
        <is>
          <t>Equilibrada</t>
        </is>
      </c>
      <c r="I70" s="4" t="n"/>
      <c r="J70" s="4" t="n"/>
      <c r="K70" s="4" t="n"/>
      <c r="L70" s="6" t="inlineStr">
        <is>
          <t>A no-injury incident hits the plant and an audit arrives in 10 days.</t>
        </is>
      </c>
      <c r="M70" s="6" t="inlineStr">
        <is>
          <t>Investigate cause</t>
        </is>
      </c>
      <c r="N70" s="6" t="inlineStr">
        <is>
          <t>You stop the area 2 days with the team and correct the procedure.</t>
        </is>
      </c>
      <c r="O70" s="4" t="n"/>
    </row>
    <row r="71" ht="40.5" customHeight="1">
      <c r="A71" s="6" t="inlineStr">
        <is>
          <t>m05p</t>
        </is>
      </c>
      <c r="B71" s="6" t="inlineStr">
        <is>
          <t>Cualquiera</t>
        </is>
      </c>
      <c r="C71" s="6" t="inlineStr">
        <is>
          <t>PLANTA</t>
        </is>
      </c>
      <c r="D71" s="6" t="inlineStr">
        <is>
          <t>Hay un incidente sin heridos en la planta y en 10 días llega una auditoría.</t>
        </is>
      </c>
      <c r="E71" s="6" t="inlineStr">
        <is>
          <t>Cerrar el informe</t>
        </is>
      </c>
      <c r="F71" s="6" t="inlineStr">
        <is>
          <t>Cierras el informe como incidente menor, por los 7 días que costaría parar.</t>
        </is>
      </c>
      <c r="G71" s="6" t="inlineStr">
        <is>
          <t>Costo</t>
        </is>
      </c>
      <c r="H71" s="6" t="inlineStr">
        <is>
          <t>Atajo</t>
        </is>
      </c>
      <c r="I71" s="4" t="n"/>
      <c r="J71" s="4" t="n"/>
      <c r="K71" s="4" t="n"/>
      <c r="L71" s="6" t="inlineStr">
        <is>
          <t>A no-injury incident hits the plant and an audit arrives in 10 days.</t>
        </is>
      </c>
      <c r="M71" s="6" t="inlineStr">
        <is>
          <t>Close the file</t>
        </is>
      </c>
      <c r="N71" s="6" t="inlineStr">
        <is>
          <t>You close the file as minor, given the 7 days a stoppage would cost.</t>
        </is>
      </c>
      <c r="O71" s="4" t="n"/>
    </row>
    <row r="72" ht="40.5" customHeight="1">
      <c r="A72" s="6" t="inlineStr">
        <is>
          <t>m05p</t>
        </is>
      </c>
      <c r="B72" s="6" t="inlineStr">
        <is>
          <t>Cualquiera</t>
        </is>
      </c>
      <c r="C72" s="6" t="inlineStr">
        <is>
          <t>PLANTA</t>
        </is>
      </c>
      <c r="D72" s="6" t="inlineStr">
        <is>
          <t>Hay un incidente sin heridos en la planta y en 10 días llega una auditoría.</t>
        </is>
      </c>
      <c r="E72" s="6" t="inlineStr">
        <is>
          <t>Parar la planta</t>
        </is>
      </c>
      <c r="F72" s="6" t="inlineStr">
        <is>
          <t>Detienes la planta 7 días y rehaces los procedimientos de cero.</t>
        </is>
      </c>
      <c r="G72" s="6" t="inlineStr">
        <is>
          <t>Costo</t>
        </is>
      </c>
      <c r="H72" s="6" t="inlineStr">
        <is>
          <t>Ceder</t>
        </is>
      </c>
      <c r="I72" s="4" t="n"/>
      <c r="J72" s="4" t="n"/>
      <c r="K72" s="4" t="n"/>
      <c r="L72" s="6" t="inlineStr">
        <is>
          <t>A no-injury incident hits the plant and an audit arrives in 10 days.</t>
        </is>
      </c>
      <c r="M72" s="6" t="inlineStr">
        <is>
          <t>Stop the plant</t>
        </is>
      </c>
      <c r="N72" s="6" t="inlineStr">
        <is>
          <t>You stop the plant 7 days and redo the procedures from zero.</t>
        </is>
      </c>
      <c r="O72" s="4" t="n"/>
    </row>
    <row r="73" ht="40.5" customHeight="1">
      <c r="A73" s="6" t="inlineStr">
        <is>
          <t>m05p</t>
        </is>
      </c>
      <c r="B73" s="6" t="inlineStr">
        <is>
          <t>Cualquiera</t>
        </is>
      </c>
      <c r="C73" s="6" t="inlineStr">
        <is>
          <t>PLANTA</t>
        </is>
      </c>
      <c r="D73" s="6" t="inlineStr">
        <is>
          <t>Hay un incidente sin heridos en la planta y en 10 días llega una auditoría.</t>
        </is>
      </c>
      <c r="E73" s="6" t="inlineStr">
        <is>
          <t>Producir igual</t>
        </is>
      </c>
      <c r="F73" s="6" t="inlineStr">
        <is>
          <t>Continúas produciendo para cumplir 120 pedidos, pues nadie resultó herido.</t>
        </is>
      </c>
      <c r="G73" s="6" t="inlineStr">
        <is>
          <t>Costo</t>
        </is>
      </c>
      <c r="H73" s="6" t="inlineStr">
        <is>
          <t>Pasiva</t>
        </is>
      </c>
      <c r="I73" s="4" t="n"/>
      <c r="J73" s="4" t="n"/>
      <c r="K73" s="4" t="n"/>
      <c r="L73" s="6" t="inlineStr">
        <is>
          <t>A no-injury incident hits the plant and an audit arrives in 10 days.</t>
        </is>
      </c>
      <c r="M73" s="6" t="inlineStr">
        <is>
          <t>Keep working</t>
        </is>
      </c>
      <c r="N73" s="6" t="inlineStr">
        <is>
          <t>You keep producing to fill 120 orders, since nobody was hurt.</t>
        </is>
      </c>
      <c r="O73" s="4" t="n"/>
    </row>
    <row r="74" ht="27" customHeight="1">
      <c r="A74" s="6" t="inlineStr">
        <is>
          <t>m05e</t>
        </is>
      </c>
      <c r="B74" s="6" t="inlineStr">
        <is>
          <t>Cualquiera</t>
        </is>
      </c>
      <c r="C74" s="6" t="inlineStr">
        <is>
          <t>ENTORNO</t>
        </is>
      </c>
      <c r="D74" s="6" t="inlineStr">
        <is>
          <t>El cobre baja 15% y las mineras congelan las compras no esenciales.</t>
        </is>
      </c>
      <c r="E74" s="6" t="inlineStr">
        <is>
          <t>Rebate por volumen</t>
        </is>
      </c>
      <c r="F74" s="6" t="inlineStr">
        <is>
          <t>Pactas un rebate de 1% por los volúmenes sobre su compra mínima.</t>
        </is>
      </c>
      <c r="G74" s="6" t="inlineStr">
        <is>
          <t>Incentivos</t>
        </is>
      </c>
      <c r="H74" s="6" t="inlineStr">
        <is>
          <t>Equilibrada</t>
        </is>
      </c>
      <c r="I74" s="4" t="n"/>
      <c r="J74" s="4" t="n"/>
      <c r="K74" s="4" t="n"/>
      <c r="L74" s="6" t="inlineStr">
        <is>
          <t>Copper drops 15% and the mines freeze non-essential purchases.</t>
        </is>
      </c>
      <c r="M74" s="6" t="inlineStr">
        <is>
          <t>Volume rebate</t>
        </is>
      </c>
      <c r="N74" s="6" t="inlineStr">
        <is>
          <t>You set a 1% rebate on the volumes above their minimum purchase.</t>
        </is>
      </c>
      <c r="O74" s="4" t="n"/>
    </row>
    <row r="75" ht="27" customHeight="1">
      <c r="A75" s="6" t="inlineStr">
        <is>
          <t>m05e</t>
        </is>
      </c>
      <c r="B75" s="6" t="inlineStr">
        <is>
          <t>Cualquiera</t>
        </is>
      </c>
      <c r="C75" s="6" t="inlineStr">
        <is>
          <t>ENTORNO</t>
        </is>
      </c>
      <c r="D75" s="6" t="inlineStr">
        <is>
          <t>El cobre baja 15% y las mineras congelan las compras no esenciales.</t>
        </is>
      </c>
      <c r="E75" s="6" t="inlineStr">
        <is>
          <t>Cobro a activos</t>
        </is>
      </c>
      <c r="F75" s="6" t="inlineStr">
        <is>
          <t>Cobras 4% más a quienes siguen comprando y recortas su rebate.</t>
        </is>
      </c>
      <c r="G75" s="6" t="inlineStr">
        <is>
          <t>Ventas</t>
        </is>
      </c>
      <c r="H75" s="6" t="inlineStr">
        <is>
          <t>Atajo</t>
        </is>
      </c>
      <c r="I75" s="4" t="n"/>
      <c r="J75" s="4" t="n"/>
      <c r="K75" s="4" t="n"/>
      <c r="L75" s="6" t="inlineStr">
        <is>
          <t>Copper drops 15% and the mines freeze non-essential purchases.</t>
        </is>
      </c>
      <c r="M75" s="6" t="inlineStr">
        <is>
          <t>Charge active ones</t>
        </is>
      </c>
      <c r="N75" s="6" t="inlineStr">
        <is>
          <t>You raise the price 4% for clients still buying and trim their rebate.</t>
        </is>
      </c>
      <c r="O75" s="4" t="n"/>
    </row>
    <row r="76" ht="27" customHeight="1">
      <c r="A76" s="6" t="inlineStr">
        <is>
          <t>m05e</t>
        </is>
      </c>
      <c r="B76" s="6" t="inlineStr">
        <is>
          <t>Cualquiera</t>
        </is>
      </c>
      <c r="C76" s="6" t="inlineStr">
        <is>
          <t>ENTORNO</t>
        </is>
      </c>
      <c r="D76" s="6" t="inlineStr">
        <is>
          <t>El cobre baja 15% y las mineras congelan las compras no esenciales.</t>
        </is>
      </c>
      <c r="E76" s="6" t="inlineStr">
        <is>
          <t>Rebate general</t>
        </is>
      </c>
      <c r="F76" s="6" t="inlineStr">
        <is>
          <t>Otorgas 3% de rebate a los clientes mineros para que no frenen más compras.</t>
        </is>
      </c>
      <c r="G76" s="6" t="inlineStr">
        <is>
          <t>Incentivos</t>
        </is>
      </c>
      <c r="H76" s="6" t="inlineStr">
        <is>
          <t>Ceder</t>
        </is>
      </c>
      <c r="I76" s="4" t="n"/>
      <c r="J76" s="4" t="n"/>
      <c r="K76" s="4" t="n"/>
      <c r="L76" s="6" t="inlineStr">
        <is>
          <t>Copper drops 15% and the mines freeze non-essential purchases.</t>
        </is>
      </c>
      <c r="M76" s="6" t="inlineStr">
        <is>
          <t>General rebate</t>
        </is>
      </c>
      <c r="N76" s="6" t="inlineStr">
        <is>
          <t>You give a 3% rebate to mining clients so they stop cutting purchases.</t>
        </is>
      </c>
      <c r="O76" s="4" t="n"/>
    </row>
    <row r="77" ht="27" customHeight="1">
      <c r="A77" s="6" t="inlineStr">
        <is>
          <t>m05e</t>
        </is>
      </c>
      <c r="B77" s="6" t="inlineStr">
        <is>
          <t>Cualquiera</t>
        </is>
      </c>
      <c r="C77" s="6" t="inlineStr">
        <is>
          <t>ENTORNO</t>
        </is>
      </c>
      <c r="D77" s="6" t="inlineStr">
        <is>
          <t>El cobre baja 15% y las mineras congelan las compras no esenciales.</t>
        </is>
      </c>
      <c r="E77" s="6" t="inlineStr">
        <is>
          <t>Mirar el ciclo</t>
        </is>
      </c>
      <c r="F77" s="6" t="inlineStr">
        <is>
          <t>Conservas precios y el rebate actual a la espera de un rebote del cobre.</t>
        </is>
      </c>
      <c r="G77" s="6" t="inlineStr">
        <is>
          <t>Ventas</t>
        </is>
      </c>
      <c r="H77" s="6" t="inlineStr">
        <is>
          <t>Pasiva</t>
        </is>
      </c>
      <c r="I77" s="4" t="n"/>
      <c r="J77" s="4" t="n"/>
      <c r="K77" s="4" t="n"/>
      <c r="L77" s="6" t="inlineStr">
        <is>
          <t>Copper drops 15% and the mines freeze non-essential purchases.</t>
        </is>
      </c>
      <c r="M77" s="6" t="inlineStr">
        <is>
          <t>Watch the cycle</t>
        </is>
      </c>
      <c r="N77" s="6" t="inlineStr">
        <is>
          <t>You keep prices and the usual rebate while waiting for copper to rebound.</t>
        </is>
      </c>
      <c r="O77" s="4" t="n"/>
    </row>
    <row r="78" ht="27" customHeight="1">
      <c r="A78" s="6" t="inlineStr">
        <is>
          <t>m05s</t>
        </is>
      </c>
      <c r="B78" s="6" t="inlineStr">
        <is>
          <t>Cualquiera</t>
        </is>
      </c>
      <c r="C78" s="6" t="inlineStr">
        <is>
          <t>ESTRATEGIA</t>
        </is>
      </c>
      <c r="D78" s="6" t="inlineStr">
        <is>
          <t>Puedes invertir en monitoreo remoto para 6 faenas con visitas mensuales.</t>
        </is>
      </c>
      <c r="E78" s="6" t="inlineStr">
        <is>
          <t>Invertir por etapas</t>
        </is>
      </c>
      <c r="F78" s="6" t="inlineStr">
        <is>
          <t>Instalas en 2 faenas mayores y calculas el ahorro en visitas por 6 meses.</t>
        </is>
      </c>
      <c r="G78" s="6" t="inlineStr">
        <is>
          <t>Direct Chg</t>
        </is>
      </c>
      <c r="H78" s="6" t="inlineStr">
        <is>
          <t>Equilibrada</t>
        </is>
      </c>
      <c r="I78" s="4" t="n"/>
      <c r="J78" s="4" t="n"/>
      <c r="K78" s="4" t="n"/>
      <c r="L78" s="6" t="inlineStr">
        <is>
          <t>You can invest in remote monitoring for 6 sites with monthly visits.</t>
        </is>
      </c>
      <c r="M78" s="6" t="inlineStr">
        <is>
          <t>Invest in stages</t>
        </is>
      </c>
      <c r="N78" s="6" t="inlineStr">
        <is>
          <t>You install at the 2 biggest sites and track visit savings for 6 months.</t>
        </is>
      </c>
      <c r="O78" s="4" t="n"/>
    </row>
    <row r="79" ht="27" customHeight="1">
      <c r="A79" s="6" t="inlineStr">
        <is>
          <t>m05s</t>
        </is>
      </c>
      <c r="B79" s="6" t="inlineStr">
        <is>
          <t>Cualquiera</t>
        </is>
      </c>
      <c r="C79" s="6" t="inlineStr">
        <is>
          <t>ESTRATEGIA</t>
        </is>
      </c>
      <c r="D79" s="6" t="inlineStr">
        <is>
          <t>Puedes invertir en monitoreo remoto para 6 faenas con visitas mensuales.</t>
        </is>
      </c>
      <c r="E79" s="6" t="inlineStr">
        <is>
          <t>Cancelar el plan</t>
        </is>
      </c>
      <c r="F79" s="6" t="inlineStr">
        <is>
          <t>Cancelas la inversión para mejorar el margen del año y recortas visitas.</t>
        </is>
      </c>
      <c r="G79" s="6" t="inlineStr">
        <is>
          <t>Direct Chg</t>
        </is>
      </c>
      <c r="H79" s="6" t="inlineStr">
        <is>
          <t>Atajo</t>
        </is>
      </c>
      <c r="I79" s="4" t="n"/>
      <c r="J79" s="4" t="n"/>
      <c r="K79" s="4" t="n"/>
      <c r="L79" s="6" t="inlineStr">
        <is>
          <t>You can invest in remote monitoring for 6 sites with monthly visits.</t>
        </is>
      </c>
      <c r="M79" s="6" t="inlineStr">
        <is>
          <t>Cancel the plan</t>
        </is>
      </c>
      <c r="N79" s="6" t="inlineStr">
        <is>
          <t>You cancel the investment to lift this year's margin and trim visits.</t>
        </is>
      </c>
      <c r="O79" s="4" t="n"/>
    </row>
    <row r="80" ht="27" customHeight="1">
      <c r="A80" s="6" t="inlineStr">
        <is>
          <t>m05s</t>
        </is>
      </c>
      <c r="B80" s="6" t="inlineStr">
        <is>
          <t>Cualquiera</t>
        </is>
      </c>
      <c r="C80" s="6" t="inlineStr">
        <is>
          <t>ESTRATEGIA</t>
        </is>
      </c>
      <c r="D80" s="6" t="inlineStr">
        <is>
          <t>Puedes invertir en monitoreo remoto para 6 faenas con visitas mensuales.</t>
        </is>
      </c>
      <c r="E80" s="6" t="inlineStr">
        <is>
          <t>Instalar en las 6</t>
        </is>
      </c>
      <c r="F80" s="6" t="inlineStr">
        <is>
          <t>Instalas el sistema en las 6 faenas con un presupuesto de 0,8.</t>
        </is>
      </c>
      <c r="G80" s="6" t="inlineStr">
        <is>
          <t>Direct Chg</t>
        </is>
      </c>
      <c r="H80" s="6" t="inlineStr">
        <is>
          <t>Ceder</t>
        </is>
      </c>
      <c r="I80" s="4" t="n"/>
      <c r="J80" s="4" t="n"/>
      <c r="K80" s="4" t="n"/>
      <c r="L80" s="6" t="inlineStr">
        <is>
          <t>You can invest in remote monitoring for 6 sites with monthly visits.</t>
        </is>
      </c>
      <c r="M80" s="6" t="inlineStr">
        <is>
          <t>Install at all 6</t>
        </is>
      </c>
      <c r="N80" s="6" t="inlineStr">
        <is>
          <t>You install the system at all 6 sites with a budget of 0.8.</t>
        </is>
      </c>
      <c r="O80" s="4" t="n"/>
    </row>
    <row r="81" ht="27" customHeight="1">
      <c r="A81" s="6" t="inlineStr">
        <is>
          <t>m05s</t>
        </is>
      </c>
      <c r="B81" s="6" t="inlineStr">
        <is>
          <t>Cualquiera</t>
        </is>
      </c>
      <c r="C81" s="6" t="inlineStr">
        <is>
          <t>ESTRATEGIA</t>
        </is>
      </c>
      <c r="D81" s="6" t="inlineStr">
        <is>
          <t>Puedes invertir en monitoreo remoto para 6 faenas con visitas mensuales.</t>
        </is>
      </c>
      <c r="E81" s="6" t="inlineStr">
        <is>
          <t>Decidir después</t>
        </is>
      </c>
      <c r="F81" s="6" t="inlineStr">
        <is>
          <t>Evalúas el ahorro otros 3 meses mientras las visitas cuestan igual.</t>
        </is>
      </c>
      <c r="G81" s="6" t="inlineStr">
        <is>
          <t>Direct Chg</t>
        </is>
      </c>
      <c r="H81" s="6" t="inlineStr">
        <is>
          <t>Pasiva</t>
        </is>
      </c>
      <c r="I81" s="4" t="n"/>
      <c r="J81" s="4" t="n"/>
      <c r="K81" s="4" t="n"/>
      <c r="L81" s="6" t="inlineStr">
        <is>
          <t>You can invest in remote monitoring for 6 sites with monthly visits.</t>
        </is>
      </c>
      <c r="M81" s="6" t="inlineStr">
        <is>
          <t>Decide later</t>
        </is>
      </c>
      <c r="N81" s="6" t="inlineStr">
        <is>
          <t>You keep weighing the savings 3 more months while visits cost the same.</t>
        </is>
      </c>
      <c r="O81" s="4" t="n"/>
    </row>
    <row r="82" ht="27" customHeight="1">
      <c r="A82" s="6" t="inlineStr">
        <is>
          <t>m06c</t>
        </is>
      </c>
      <c r="B82" s="6" t="inlineStr">
        <is>
          <t>Cualquiera</t>
        </is>
      </c>
      <c r="C82" s="6" t="inlineStr">
        <is>
          <t>CLIENTE</t>
        </is>
      </c>
      <c r="D82" s="6" t="inlineStr">
        <is>
          <t>Un competidor ofrece 8% menos y amenaza un contrato de 14% de ventas.</t>
        </is>
      </c>
      <c r="E82" s="6" t="inlineStr">
        <is>
          <t>Mostrar el ahorro</t>
        </is>
      </c>
      <c r="F82" s="6" t="inlineStr">
        <is>
          <t>Presentas el ahorro medido y sostienes el precio con un rebate a 2 años.</t>
        </is>
      </c>
      <c r="G82" s="6" t="inlineStr">
        <is>
          <t>Incentivos</t>
        </is>
      </c>
      <c r="H82" s="6" t="inlineStr">
        <is>
          <t>Equilibrada</t>
        </is>
      </c>
      <c r="I82" s="4" t="n"/>
      <c r="J82" s="4" t="n"/>
      <c r="K82" s="4" t="n"/>
      <c r="L82" s="6" t="inlineStr">
        <is>
          <t>A competitor offers 8% less and threatens a contract worth 14% of sales.</t>
        </is>
      </c>
      <c r="M82" s="6" t="inlineStr">
        <is>
          <t>Show the savings</t>
        </is>
      </c>
      <c r="N82" s="6" t="inlineStr">
        <is>
          <t>You present the measured savings and hold the price with a 2-year rebate.</t>
        </is>
      </c>
      <c r="O82" s="4" t="n"/>
    </row>
    <row r="83" ht="27" customHeight="1">
      <c r="A83" s="6" t="inlineStr">
        <is>
          <t>m06c</t>
        </is>
      </c>
      <c r="B83" s="6" t="inlineStr">
        <is>
          <t>Cualquiera</t>
        </is>
      </c>
      <c r="C83" s="6" t="inlineStr">
        <is>
          <t>CLIENTE</t>
        </is>
      </c>
      <c r="D83" s="6" t="inlineStr">
        <is>
          <t>Un competidor ofrece 8% menos y amenaza un contrato de 14% de ventas.</t>
        </is>
      </c>
      <c r="E83" s="6" t="inlineStr">
        <is>
          <t>Amarrar al cliente</t>
        </is>
      </c>
      <c r="F83" s="6" t="inlineStr">
        <is>
          <t>Firmas un contrato de 3 años con multas de salida de 20%.</t>
        </is>
      </c>
      <c r="G83" s="6" t="inlineStr">
        <is>
          <t>Ventas</t>
        </is>
      </c>
      <c r="H83" s="6" t="inlineStr">
        <is>
          <t>Atajo</t>
        </is>
      </c>
      <c r="I83" s="4" t="n"/>
      <c r="J83" s="4" t="n"/>
      <c r="K83" s="4" t="n"/>
      <c r="L83" s="6" t="inlineStr">
        <is>
          <t>A competitor offers 8% less and threatens a contract worth 14% of sales.</t>
        </is>
      </c>
      <c r="M83" s="6" t="inlineStr">
        <is>
          <t>Lock in the client</t>
        </is>
      </c>
      <c r="N83" s="6" t="inlineStr">
        <is>
          <t>You sign a 3-year contract with exit penalties of 20%.</t>
        </is>
      </c>
      <c r="O83" s="4" t="n"/>
    </row>
    <row r="84" ht="27" customHeight="1">
      <c r="A84" s="6" t="inlineStr">
        <is>
          <t>m06c</t>
        </is>
      </c>
      <c r="B84" s="6" t="inlineStr">
        <is>
          <t>Cualquiera</t>
        </is>
      </c>
      <c r="C84" s="6" t="inlineStr">
        <is>
          <t>CLIENTE</t>
        </is>
      </c>
      <c r="D84" s="6" t="inlineStr">
        <is>
          <t>Un competidor ofrece 8% menos y amenaza un contrato de 14% de ventas.</t>
        </is>
      </c>
      <c r="E84" s="6" t="inlineStr">
        <is>
          <t>Igualar el precio</t>
        </is>
      </c>
      <c r="F84" s="6" t="inlineStr">
        <is>
          <t>Bajas 8% el precio por la duración del contrato y conservas el resto.</t>
        </is>
      </c>
      <c r="G84" s="6" t="inlineStr">
        <is>
          <t>Ventas</t>
        </is>
      </c>
      <c r="H84" s="6" t="inlineStr">
        <is>
          <t>Ceder</t>
        </is>
      </c>
      <c r="I84" s="4" t="n"/>
      <c r="J84" s="4" t="n"/>
      <c r="K84" s="4" t="n"/>
      <c r="L84" s="6" t="inlineStr">
        <is>
          <t>A competitor offers 8% less and threatens a contract worth 14% of sales.</t>
        </is>
      </c>
      <c r="M84" s="6" t="inlineStr">
        <is>
          <t>Match the price</t>
        </is>
      </c>
      <c r="N84" s="6" t="inlineStr">
        <is>
          <t>You cut the price 8% for the length of the contract and keep the rest.</t>
        </is>
      </c>
      <c r="O84" s="4" t="n"/>
    </row>
    <row r="85" ht="27" customHeight="1">
      <c r="A85" s="6" t="inlineStr">
        <is>
          <t>m06c</t>
        </is>
      </c>
      <c r="B85" s="6" t="inlineStr">
        <is>
          <t>Cualquiera</t>
        </is>
      </c>
      <c r="C85" s="6" t="inlineStr">
        <is>
          <t>CLIENTE</t>
        </is>
      </c>
      <c r="D85" s="6" t="inlineStr">
        <is>
          <t>Un competidor ofrece 8% menos y amenaza un contrato de 14% de ventas.</t>
        </is>
      </c>
      <c r="E85" s="6" t="inlineStr">
        <is>
          <t>Confiar en el lazo</t>
        </is>
      </c>
      <c r="F85" s="6" t="inlineStr">
        <is>
          <t>Cuidas la relación con los clientes y das por seguro su lealtad por 3 años.</t>
        </is>
      </c>
      <c r="G85" s="6" t="inlineStr">
        <is>
          <t>Ventas</t>
        </is>
      </c>
      <c r="H85" s="6" t="inlineStr">
        <is>
          <t>Pasiva</t>
        </is>
      </c>
      <c r="I85" s="4" t="n"/>
      <c r="J85" s="4" t="n"/>
      <c r="K85" s="4" t="n"/>
      <c r="L85" s="6" t="inlineStr">
        <is>
          <t>A competitor offers 8% less and threatens a contract worth 14% of sales.</t>
        </is>
      </c>
      <c r="M85" s="6" t="inlineStr">
        <is>
          <t>Trust the bond</t>
        </is>
      </c>
      <c r="N85" s="6" t="inlineStr">
        <is>
          <t>You nurture the relationship and take a loyal bond for granted for 3 years.</t>
        </is>
      </c>
      <c r="O85" s="4" t="n"/>
    </row>
    <row r="86" ht="27" customHeight="1">
      <c r="A86" s="6" t="inlineStr">
        <is>
          <t>m06p</t>
        </is>
      </c>
      <c r="B86" s="6" t="inlineStr">
        <is>
          <t>Cualquiera</t>
        </is>
      </c>
      <c r="C86" s="6" t="inlineStr">
        <is>
          <t>PLANTA</t>
        </is>
      </c>
      <c r="D86" s="6" t="inlineStr">
        <is>
          <t>Esta semana 4 lotes de 10 salen al límite de la especificación.</t>
        </is>
      </c>
      <c r="E86" s="6" t="inlineStr">
        <is>
          <t>Ajustar el proceso</t>
        </is>
      </c>
      <c r="F86" s="6" t="inlineStr">
        <is>
          <t>Ajustas el proceso con calidad y refuerzas los controles del lote.</t>
        </is>
      </c>
      <c r="G86" s="6" t="inlineStr">
        <is>
          <t>Costo</t>
        </is>
      </c>
      <c r="H86" s="6" t="inlineStr">
        <is>
          <t>Equilibrada</t>
        </is>
      </c>
      <c r="I86" s="4" t="n"/>
      <c r="J86" s="4" t="n"/>
      <c r="K86" s="4" t="n"/>
      <c r="L86" s="6" t="inlineStr">
        <is>
          <t>This week 4 batches out of 10 come out at the edge of spec.</t>
        </is>
      </c>
      <c r="M86" s="6" t="inlineStr">
        <is>
          <t>Tune the process</t>
        </is>
      </c>
      <c r="N86" s="6" t="inlineStr">
        <is>
          <t>You adjust the process alongside quality and reinforce the batch controls.</t>
        </is>
      </c>
      <c r="O86" s="4" t="n"/>
    </row>
    <row r="87" ht="27" customHeight="1">
      <c r="A87" s="6" t="inlineStr">
        <is>
          <t>m06p</t>
        </is>
      </c>
      <c r="B87" s="6" t="inlineStr">
        <is>
          <t>Cualquiera</t>
        </is>
      </c>
      <c r="C87" s="6" t="inlineStr">
        <is>
          <t>PLANTA</t>
        </is>
      </c>
      <c r="D87" s="6" t="inlineStr">
        <is>
          <t>Esta semana 4 lotes de 10 salen al límite de la especificación.</t>
        </is>
      </c>
      <c r="E87" s="6" t="inlineStr">
        <is>
          <t>Mezclar lotes</t>
        </is>
      </c>
      <c r="F87" s="6" t="inlineStr">
        <is>
          <t>Mezclas lotes dudosos por partes con lotes buenos para que el promedio pase.</t>
        </is>
      </c>
      <c r="G87" s="6" t="inlineStr">
        <is>
          <t>Costo</t>
        </is>
      </c>
      <c r="H87" s="6" t="inlineStr">
        <is>
          <t>Atajo</t>
        </is>
      </c>
      <c r="I87" s="4" t="n"/>
      <c r="J87" s="4" t="n"/>
      <c r="K87" s="4" t="n"/>
      <c r="L87" s="6" t="inlineStr">
        <is>
          <t>This week 4 batches out of 10 come out at the edge of spec.</t>
        </is>
      </c>
      <c r="M87" s="6" t="inlineStr">
        <is>
          <t>Blend batches</t>
        </is>
      </c>
      <c r="N87" s="6" t="inlineStr">
        <is>
          <t>You blend doubtful batches in parts with good ones so the average passes.</t>
        </is>
      </c>
      <c r="O87" s="4" t="n"/>
    </row>
    <row r="88" ht="27" customHeight="1">
      <c r="A88" s="6" t="inlineStr">
        <is>
          <t>m06p</t>
        </is>
      </c>
      <c r="B88" s="6" t="inlineStr">
        <is>
          <t>Cualquiera</t>
        </is>
      </c>
      <c r="C88" s="6" t="inlineStr">
        <is>
          <t>PLANTA</t>
        </is>
      </c>
      <c r="D88" s="6" t="inlineStr">
        <is>
          <t>Esta semana 4 lotes de 10 salen al límite de la especificación.</t>
        </is>
      </c>
      <c r="E88" s="6" t="inlineStr">
        <is>
          <t>Controles extra</t>
        </is>
      </c>
      <c r="F88" s="6" t="inlineStr">
        <is>
          <t>Agregas pruebas a cada lote y la liberación se demora 2 días.</t>
        </is>
      </c>
      <c r="G88" s="6" t="inlineStr">
        <is>
          <t>Costo</t>
        </is>
      </c>
      <c r="H88" s="6" t="inlineStr">
        <is>
          <t>Ceder</t>
        </is>
      </c>
      <c r="I88" s="4" t="n"/>
      <c r="J88" s="4" t="n"/>
      <c r="K88" s="4" t="n"/>
      <c r="L88" s="6" t="inlineStr">
        <is>
          <t>This week 4 batches out of 10 come out at the edge of spec.</t>
        </is>
      </c>
      <c r="M88" s="6" t="inlineStr">
        <is>
          <t>Extra checks</t>
        </is>
      </c>
      <c r="N88" s="6" t="inlineStr">
        <is>
          <t>You add checks to each batch and release slips 2 days.</t>
        </is>
      </c>
      <c r="O88" s="4" t="n"/>
    </row>
    <row r="89" ht="27" customHeight="1">
      <c r="A89" s="6" t="inlineStr">
        <is>
          <t>m06p</t>
        </is>
      </c>
      <c r="B89" s="6" t="inlineStr">
        <is>
          <t>Cualquiera</t>
        </is>
      </c>
      <c r="C89" s="6" t="inlineStr">
        <is>
          <t>PLANTA</t>
        </is>
      </c>
      <c r="D89" s="6" t="inlineStr">
        <is>
          <t>Esta semana 4 lotes de 10 salen al límite de la especificación.</t>
        </is>
      </c>
      <c r="E89" s="6" t="inlineStr">
        <is>
          <t>Esperar un reclamo</t>
        </is>
      </c>
      <c r="F89" s="6" t="inlineStr">
        <is>
          <t>Despachas 4 lotes y archivas las pruebas hasta que algún cliente reclame.</t>
        </is>
      </c>
      <c r="G89" s="6" t="inlineStr">
        <is>
          <t>Costo</t>
        </is>
      </c>
      <c r="H89" s="6" t="inlineStr">
        <is>
          <t>Pasiva</t>
        </is>
      </c>
      <c r="I89" s="4" t="n"/>
      <c r="J89" s="4" t="n"/>
      <c r="K89" s="4" t="n"/>
      <c r="L89" s="6" t="inlineStr">
        <is>
          <t>This week 4 batches out of 10 come out at the edge of spec.</t>
        </is>
      </c>
      <c r="M89" s="6" t="inlineStr">
        <is>
          <t>Wait for a claim</t>
        </is>
      </c>
      <c r="N89" s="6" t="inlineStr">
        <is>
          <t>You ship 4 batches to log whether any client complains.</t>
        </is>
      </c>
      <c r="O89" s="4" t="n"/>
    </row>
    <row r="90" ht="27" customHeight="1">
      <c r="A90" s="6" t="inlineStr">
        <is>
          <t>m06e</t>
        </is>
      </c>
      <c r="B90" s="6" t="inlineStr">
        <is>
          <t>Cualquiera</t>
        </is>
      </c>
      <c r="C90" s="6" t="inlineStr">
        <is>
          <t>ENTORNO</t>
        </is>
      </c>
      <c r="D90" s="6" t="inlineStr">
        <is>
          <t>Una norma ambiental limita 20% el uso de agua en las faenas.</t>
        </is>
      </c>
      <c r="E90" s="6" t="inlineStr">
        <is>
          <t>Programa de reuso</t>
        </is>
      </c>
      <c r="F90" s="6" t="inlineStr">
        <is>
          <t>Propones un programa de reuso de agua con pago por m3 ahorrado.</t>
        </is>
      </c>
      <c r="G90" s="6" t="inlineStr">
        <is>
          <t>Ventas</t>
        </is>
      </c>
      <c r="H90" s="6" t="inlineStr">
        <is>
          <t>Equilibrada</t>
        </is>
      </c>
      <c r="I90" s="4" t="n"/>
      <c r="J90" s="4" t="n"/>
      <c r="K90" s="4" t="n"/>
      <c r="L90" s="6" t="inlineStr">
        <is>
          <t>An environmental rule cuts water use 20% at the sites.</t>
        </is>
      </c>
      <c r="M90" s="6" t="inlineStr">
        <is>
          <t>Reuse program</t>
        </is>
      </c>
      <c r="N90" s="6" t="inlineStr">
        <is>
          <t>You offer a water-reuse program paid per m3 saved.</t>
        </is>
      </c>
      <c r="O90" s="4" t="n"/>
    </row>
    <row r="91" ht="27" customHeight="1">
      <c r="A91" s="6" t="inlineStr">
        <is>
          <t>m06e</t>
        </is>
      </c>
      <c r="B91" s="6" t="inlineStr">
        <is>
          <t>Cualquiera</t>
        </is>
      </c>
      <c r="C91" s="6" t="inlineStr">
        <is>
          <t>ENTORNO</t>
        </is>
      </c>
      <c r="D91" s="6" t="inlineStr">
        <is>
          <t>Una norma ambiental limita 20% el uso de agua en las faenas.</t>
        </is>
      </c>
      <c r="E91" s="6" t="inlineStr">
        <is>
          <t>Paquete cerrado</t>
        </is>
      </c>
      <c r="F91" s="6" t="inlineStr">
        <is>
          <t>Vendes un paquete llave en mano aún no probado y firmas 3 contratos.</t>
        </is>
      </c>
      <c r="G91" s="6" t="inlineStr">
        <is>
          <t>Ventas</t>
        </is>
      </c>
      <c r="H91" s="6" t="inlineStr">
        <is>
          <t>Atajo</t>
        </is>
      </c>
      <c r="I91" s="4" t="n"/>
      <c r="J91" s="4" t="n"/>
      <c r="K91" s="4" t="n"/>
      <c r="L91" s="6" t="inlineStr">
        <is>
          <t>An environmental rule cuts water use 20% at the sites.</t>
        </is>
      </c>
      <c r="M91" s="6" t="inlineStr">
        <is>
          <t>Closed package</t>
        </is>
      </c>
      <c r="N91" s="6" t="inlineStr">
        <is>
          <t>You sell an untested turnkey package and sign 3 contracts.</t>
        </is>
      </c>
      <c r="O91" s="4" t="n"/>
    </row>
    <row r="92" ht="27" customHeight="1">
      <c r="A92" s="6" t="inlineStr">
        <is>
          <t>m06e</t>
        </is>
      </c>
      <c r="B92" s="6" t="inlineStr">
        <is>
          <t>Cualquiera</t>
        </is>
      </c>
      <c r="C92" s="6" t="inlineStr">
        <is>
          <t>ENTORNO</t>
        </is>
      </c>
      <c r="D92" s="6" t="inlineStr">
        <is>
          <t>Una norma ambiental limita 20% el uso de agua en las faenas.</t>
        </is>
      </c>
      <c r="E92" s="6" t="inlineStr">
        <is>
          <t>Diagnóstico gratis</t>
        </is>
      </c>
      <c r="F92" s="6" t="inlineStr">
        <is>
          <t>Haces diagnósticos de ahorro gratis a los clientes para ganarte su confianza.</t>
        </is>
      </c>
      <c r="G92" s="6" t="inlineStr">
        <is>
          <t>Direct Chg</t>
        </is>
      </c>
      <c r="H92" s="6" t="inlineStr">
        <is>
          <t>Ceder</t>
        </is>
      </c>
      <c r="I92" s="4" t="n"/>
      <c r="J92" s="4" t="n"/>
      <c r="K92" s="4" t="n"/>
      <c r="L92" s="6" t="inlineStr">
        <is>
          <t>An environmental rule cuts water use 20% at the sites.</t>
        </is>
      </c>
      <c r="M92" s="6" t="inlineStr">
        <is>
          <t>Free diagnostics</t>
        </is>
      </c>
      <c r="N92" s="6" t="inlineStr">
        <is>
          <t>You run free savings diagnostics with clients to win their trust.</t>
        </is>
      </c>
      <c r="O92" s="4" t="n"/>
    </row>
    <row r="93" ht="27" customHeight="1">
      <c r="A93" s="6" t="inlineStr">
        <is>
          <t>m06e</t>
        </is>
      </c>
      <c r="B93" s="6" t="inlineStr">
        <is>
          <t>Cualquiera</t>
        </is>
      </c>
      <c r="C93" s="6" t="inlineStr">
        <is>
          <t>ENTORNO</t>
        </is>
      </c>
      <c r="D93" s="6" t="inlineStr">
        <is>
          <t>Una norma ambiental limita 20% el uso de agua en las faenas.</t>
        </is>
      </c>
      <c r="E93" s="6" t="inlineStr">
        <is>
          <t>Que pidan ayuda</t>
        </is>
      </c>
      <c r="F93" s="6" t="inlineStr">
        <is>
          <t>Ayudas solo a quien lo pide, con una respuesta en 10 días.</t>
        </is>
      </c>
      <c r="G93" s="6" t="inlineStr">
        <is>
          <t>Ventas</t>
        </is>
      </c>
      <c r="H93" s="6" t="inlineStr">
        <is>
          <t>Pasiva</t>
        </is>
      </c>
      <c r="I93" s="4" t="n"/>
      <c r="J93" s="4" t="n"/>
      <c r="K93" s="4" t="n"/>
      <c r="L93" s="6" t="inlineStr">
        <is>
          <t>An environmental rule cuts water use 20% at the sites.</t>
        </is>
      </c>
      <c r="M93" s="6" t="inlineStr">
        <is>
          <t>Let them ask</t>
        </is>
      </c>
      <c r="N93" s="6" t="inlineStr">
        <is>
          <t>You help only whoever asks, with a reply in 10 days.</t>
        </is>
      </c>
      <c r="O93" s="4" t="n"/>
    </row>
    <row r="94" ht="27" customHeight="1">
      <c r="A94" s="6" t="inlineStr">
        <is>
          <t>m06s</t>
        </is>
      </c>
      <c r="B94" s="6" t="inlineStr">
        <is>
          <t>Cualquiera</t>
        </is>
      </c>
      <c r="C94" s="6" t="inlineStr">
        <is>
          <t>ESTRATEGIA</t>
        </is>
      </c>
      <c r="D94" s="6" t="inlineStr">
        <is>
          <t>Un cliente grande de otro país pide cotización en 30 días.</t>
        </is>
      </c>
      <c r="E94" s="6" t="inlineStr">
        <is>
          <t>Entrar con socio</t>
        </is>
      </c>
      <c r="F94" s="6" t="inlineStr">
        <is>
          <t>Eliges un distribuidor local y limitas la inversión del primer año.</t>
        </is>
      </c>
      <c r="G94" s="6" t="inlineStr">
        <is>
          <t>SG&amp;A</t>
        </is>
      </c>
      <c r="H94" s="6" t="inlineStr">
        <is>
          <t>Equilibrada</t>
        </is>
      </c>
      <c r="I94" s="4" t="n"/>
      <c r="J94" s="4" t="n"/>
      <c r="K94" s="4" t="n"/>
      <c r="L94" s="6" t="inlineStr">
        <is>
          <t>A big client abroad asks for a quote within 30 days.</t>
        </is>
      </c>
      <c r="M94" s="6" t="inlineStr">
        <is>
          <t>Enter with partner</t>
        </is>
      </c>
      <c r="N94" s="6" t="inlineStr">
        <is>
          <t>You pick a local distributor and cap the first-year investment.</t>
        </is>
      </c>
      <c r="O94" s="4" t="n"/>
    </row>
    <row r="95" ht="27" customHeight="1">
      <c r="A95" s="6" t="inlineStr">
        <is>
          <t>m06s</t>
        </is>
      </c>
      <c r="B95" s="6" t="inlineStr">
        <is>
          <t>Cualquiera</t>
        </is>
      </c>
      <c r="C95" s="6" t="inlineStr">
        <is>
          <t>ESTRATEGIA</t>
        </is>
      </c>
      <c r="D95" s="6" t="inlineStr">
        <is>
          <t>Un cliente grande de otro país pide cotización en 30 días.</t>
        </is>
      </c>
      <c r="E95" s="6" t="inlineStr">
        <is>
          <t>Atender de lejos</t>
        </is>
      </c>
      <c r="F95" s="6" t="inlineStr">
        <is>
          <t>Atiendes a distancia con precios 15% altos para cubrir el riesgo inicial.</t>
        </is>
      </c>
      <c r="G95" s="6" t="inlineStr">
        <is>
          <t>Ventas</t>
        </is>
      </c>
      <c r="H95" s="6" t="inlineStr">
        <is>
          <t>Atajo</t>
        </is>
      </c>
      <c r="I95" s="4" t="n"/>
      <c r="J95" s="4" t="n"/>
      <c r="K95" s="4" t="n"/>
      <c r="L95" s="6" t="inlineStr">
        <is>
          <t>A big client abroad asks for a quote within 30 days.</t>
        </is>
      </c>
      <c r="M95" s="6" t="inlineStr">
        <is>
          <t>Serve from afar</t>
        </is>
      </c>
      <c r="N95" s="6" t="inlineStr">
        <is>
          <t>You serve from here at prices 15% higher to cover the initial risk.</t>
        </is>
      </c>
      <c r="O95" s="4" t="n"/>
    </row>
    <row r="96" ht="27" customHeight="1">
      <c r="A96" s="6" t="inlineStr">
        <is>
          <t>m06s</t>
        </is>
      </c>
      <c r="B96" s="6" t="inlineStr">
        <is>
          <t>Cualquiera</t>
        </is>
      </c>
      <c r="C96" s="6" t="inlineStr">
        <is>
          <t>ESTRATEGIA</t>
        </is>
      </c>
      <c r="D96" s="6" t="inlineStr">
        <is>
          <t>Un cliente grande de otro país pide cotización en 30 días.</t>
        </is>
      </c>
      <c r="E96" s="6" t="inlineStr">
        <is>
          <t>Asumir requisitos</t>
        </is>
      </c>
      <c r="F96" s="6" t="inlineStr">
        <is>
          <t>Asumes los requisitos del cliente con sus contratos al partir.</t>
        </is>
      </c>
      <c r="G96" s="6" t="inlineStr">
        <is>
          <t>SG&amp;A</t>
        </is>
      </c>
      <c r="H96" s="6" t="inlineStr">
        <is>
          <t>Ceder</t>
        </is>
      </c>
      <c r="I96" s="4" t="n"/>
      <c r="J96" s="4" t="n"/>
      <c r="K96" s="4" t="n"/>
      <c r="L96" s="6" t="inlineStr">
        <is>
          <t>A big client abroad asks for a quote within 30 days.</t>
        </is>
      </c>
      <c r="M96" s="6" t="inlineStr">
        <is>
          <t>Take the terms</t>
        </is>
      </c>
      <c r="N96" s="6" t="inlineStr">
        <is>
          <t>You take the client's requirements and contracts from day 1.</t>
        </is>
      </c>
      <c r="O96" s="4" t="n"/>
    </row>
    <row r="97" ht="27" customHeight="1">
      <c r="A97" s="6" t="inlineStr">
        <is>
          <t>m06s</t>
        </is>
      </c>
      <c r="B97" s="6" t="inlineStr">
        <is>
          <t>Cualquiera</t>
        </is>
      </c>
      <c r="C97" s="6" t="inlineStr">
        <is>
          <t>ESTRATEGIA</t>
        </is>
      </c>
      <c r="D97" s="6" t="inlineStr">
        <is>
          <t>Un cliente grande de otro país pide cotización en 30 días.</t>
        </is>
      </c>
      <c r="E97" s="6" t="inlineStr">
        <is>
          <t>Cotización tardía</t>
        </is>
      </c>
      <c r="F97" s="6" t="inlineStr">
        <is>
          <t>Envías la cotización por correo en 45 días, con los requisitos revisados.</t>
        </is>
      </c>
      <c r="G97" s="6" t="inlineStr">
        <is>
          <t>Ventas</t>
        </is>
      </c>
      <c r="H97" s="6" t="inlineStr">
        <is>
          <t>Pasiva</t>
        </is>
      </c>
      <c r="I97" s="4" t="n"/>
      <c r="J97" s="4" t="n"/>
      <c r="K97" s="4" t="n"/>
      <c r="L97" s="6" t="inlineStr">
        <is>
          <t>A big client abroad asks for a quote within 30 days.</t>
        </is>
      </c>
      <c r="M97" s="6" t="inlineStr">
        <is>
          <t>Late quote</t>
        </is>
      </c>
      <c r="N97" s="6" t="inlineStr">
        <is>
          <t>You email the quote in 45 days, with the requirements reviewed.</t>
        </is>
      </c>
      <c r="O97" s="4" t="n"/>
    </row>
    <row r="98" ht="27" customHeight="1">
      <c r="A98" s="6" t="inlineStr">
        <is>
          <t>m07c</t>
        </is>
      </c>
      <c r="B98" s="6" t="inlineStr">
        <is>
          <t>Cualquiera</t>
        </is>
      </c>
      <c r="C98" s="6" t="inlineStr">
        <is>
          <t>CLIENTE</t>
        </is>
      </c>
      <c r="D98" s="6" t="inlineStr">
        <is>
          <t>Un cliente (11% de tus ventas) pide auditar tus costos y tu margen.</t>
        </is>
      </c>
      <c r="E98" s="6" t="inlineStr">
        <is>
          <t>Abrir con reglas</t>
        </is>
      </c>
      <c r="F98" s="6" t="inlineStr">
        <is>
          <t>Aceptas auditar y muestras flete y Direct Chg para acordar cómo comparar.</t>
        </is>
      </c>
      <c r="G98" s="6" t="inlineStr">
        <is>
          <t>Direct Chg</t>
        </is>
      </c>
      <c r="H98" s="6" t="inlineStr">
        <is>
          <t>Equilibrada</t>
        </is>
      </c>
      <c r="I98" s="4" t="n"/>
      <c r="J98" s="4" t="n"/>
      <c r="K98" s="4" t="n"/>
      <c r="L98" s="6" t="inlineStr">
        <is>
          <t>A client (11% of your sales) asks to audit your costs and margin.</t>
        </is>
      </c>
      <c r="M98" s="6" t="inlineStr">
        <is>
          <t>Open with rules</t>
        </is>
      </c>
      <c r="N98" s="6" t="inlineStr">
        <is>
          <t>You accept the audit and show freight and Direct Chg to set how costs compare.</t>
        </is>
      </c>
      <c r="O98" s="4" t="n"/>
    </row>
    <row r="99" ht="27" customHeight="1">
      <c r="A99" s="6" t="inlineStr">
        <is>
          <t>m07c</t>
        </is>
      </c>
      <c r="B99" s="6" t="inlineStr">
        <is>
          <t>Cualquiera</t>
        </is>
      </c>
      <c r="C99" s="6" t="inlineStr">
        <is>
          <t>CLIENTE</t>
        </is>
      </c>
      <c r="D99" s="6" t="inlineStr">
        <is>
          <t>Un cliente (11% de tus ventas) pide auditar tus costos y tu margen.</t>
        </is>
      </c>
      <c r="E99" s="6" t="inlineStr">
        <is>
          <t>Mostrar a medias</t>
        </is>
      </c>
      <c r="F99" s="6" t="inlineStr">
        <is>
          <t>Muestras los costos que te favorecen con el resto en resumen.</t>
        </is>
      </c>
      <c r="G99" s="6" t="inlineStr">
        <is>
          <t>Ventas</t>
        </is>
      </c>
      <c r="H99" s="6" t="inlineStr">
        <is>
          <t>Atajo</t>
        </is>
      </c>
      <c r="I99" s="4" t="n"/>
      <c r="J99" s="4" t="n"/>
      <c r="K99" s="4" t="n"/>
      <c r="L99" s="6" t="inlineStr">
        <is>
          <t>A client (11% of your sales) asks to audit your costs and margin.</t>
        </is>
      </c>
      <c r="M99" s="6" t="inlineStr">
        <is>
          <t>Show only part</t>
        </is>
      </c>
      <c r="N99" s="6" t="inlineStr">
        <is>
          <t>You hand over the costs that favor you, the rest in summary.</t>
        </is>
      </c>
      <c r="O99" s="4" t="n"/>
    </row>
    <row r="100" ht="27" customHeight="1">
      <c r="A100" s="6" t="inlineStr">
        <is>
          <t>m07c</t>
        </is>
      </c>
      <c r="B100" s="6" t="inlineStr">
        <is>
          <t>Cualquiera</t>
        </is>
      </c>
      <c r="C100" s="6" t="inlineStr">
        <is>
          <t>CLIENTE</t>
        </is>
      </c>
      <c r="D100" s="6" t="inlineStr">
        <is>
          <t>Un cliente (11% de tus ventas) pide auditar tus costos y tu margen.</t>
        </is>
      </c>
      <c r="E100" s="6" t="inlineStr">
        <is>
          <t>Libro abierto</t>
        </is>
      </c>
      <c r="F100" s="6" t="inlineStr">
        <is>
          <t>Abres los costos por línea y aceptas bajar tu margen 2 puntos.</t>
        </is>
      </c>
      <c r="G100" s="6" t="inlineStr">
        <is>
          <t>Incentivos</t>
        </is>
      </c>
      <c r="H100" s="6" t="inlineStr">
        <is>
          <t>Ceder</t>
        </is>
      </c>
      <c r="I100" s="4" t="n"/>
      <c r="J100" s="4" t="n"/>
      <c r="K100" s="4" t="n"/>
      <c r="L100" s="6" t="inlineStr">
        <is>
          <t>A client (11% of your sales) asks to audit your costs and margin.</t>
        </is>
      </c>
      <c r="M100" s="6" t="inlineStr">
        <is>
          <t>Open book</t>
        </is>
      </c>
      <c r="N100" s="6" t="inlineStr">
        <is>
          <t>You hand over costs by line and agree to cut your margin 2 points.</t>
        </is>
      </c>
      <c r="O100" s="4" t="n"/>
    </row>
    <row r="101" ht="27" customHeight="1">
      <c r="A101" s="6" t="inlineStr">
        <is>
          <t>m07c</t>
        </is>
      </c>
      <c r="B101" s="6" t="inlineStr">
        <is>
          <t>Cualquiera</t>
        </is>
      </c>
      <c r="C101" s="6" t="inlineStr">
        <is>
          <t>CLIENTE</t>
        </is>
      </c>
      <c r="D101" s="6" t="inlineStr">
        <is>
          <t>Un cliente (11% de tus ventas) pide auditar tus costos y tu margen.</t>
        </is>
      </c>
      <c r="E101" s="6" t="inlineStr">
        <is>
          <t>Auditoría después</t>
        </is>
      </c>
      <c r="F101" s="6" t="inlineStr">
        <is>
          <t>Postergas la auditoría por falta de tiempo, hasta 6 meses.</t>
        </is>
      </c>
      <c r="G101" s="6" t="inlineStr">
        <is>
          <t>Ventas</t>
        </is>
      </c>
      <c r="H101" s="6" t="inlineStr">
        <is>
          <t>Pasiva</t>
        </is>
      </c>
      <c r="I101" s="4" t="n"/>
      <c r="J101" s="4" t="n"/>
      <c r="K101" s="4" t="n"/>
      <c r="L101" s="6" t="inlineStr">
        <is>
          <t>A client (11% of your sales) asks to audit your costs and margin.</t>
        </is>
      </c>
      <c r="M101" s="6" t="inlineStr">
        <is>
          <t>Audit postponed</t>
        </is>
      </c>
      <c r="N101" s="6" t="inlineStr">
        <is>
          <t>You put off the audit for lack of time, up to 6 months.</t>
        </is>
      </c>
      <c r="O101" s="4" t="n"/>
    </row>
    <row r="102" ht="40.5" customHeight="1">
      <c r="A102" s="6" t="inlineStr">
        <is>
          <t>m07p</t>
        </is>
      </c>
      <c r="B102" s="6" t="inlineStr">
        <is>
          <t>Cualquiera</t>
        </is>
      </c>
      <c r="C102" s="6" t="inlineStr">
        <is>
          <t>PLANTA</t>
        </is>
      </c>
      <c r="D102" s="6" t="inlineStr">
        <is>
          <t>Tu único proveedor se atrasa 3 semanas con un insumo que pesa 30% del costo.</t>
        </is>
      </c>
      <c r="E102" s="6" t="inlineStr">
        <is>
          <t>Segundo proveedor</t>
        </is>
      </c>
      <c r="F102" s="6" t="inlineStr">
        <is>
          <t>Calificas un segundo proveedor con 2 pruebas y cubres el hueco con stock.</t>
        </is>
      </c>
      <c r="G102" s="6" t="inlineStr">
        <is>
          <t>Costo</t>
        </is>
      </c>
      <c r="H102" s="6" t="inlineStr">
        <is>
          <t>Equilibrada</t>
        </is>
      </c>
      <c r="I102" s="4" t="n"/>
      <c r="J102" s="4" t="n"/>
      <c r="K102" s="4" t="n"/>
      <c r="L102" s="6" t="inlineStr">
        <is>
          <t>Your only supplier is 3 weeks late on an input that is 30% of cost.</t>
        </is>
      </c>
      <c r="M102" s="6" t="inlineStr">
        <is>
          <t>Second supplier</t>
        </is>
      </c>
      <c r="N102" s="6" t="inlineStr">
        <is>
          <t>You qualify a second supplier with 2 tests and cover the gap with stock.</t>
        </is>
      </c>
      <c r="O102" s="4" t="n"/>
    </row>
    <row r="103" ht="40.5" customHeight="1">
      <c r="A103" s="6" t="inlineStr">
        <is>
          <t>m07p</t>
        </is>
      </c>
      <c r="B103" s="6" t="inlineStr">
        <is>
          <t>Cualquiera</t>
        </is>
      </c>
      <c r="C103" s="6" t="inlineStr">
        <is>
          <t>PLANTA</t>
        </is>
      </c>
      <c r="D103" s="6" t="inlineStr">
        <is>
          <t>Tu único proveedor se atrasa 3 semanas con un insumo que pesa 30% del costo.</t>
        </is>
      </c>
      <c r="E103" s="6" t="inlineStr">
        <is>
          <t>Insumo alternativo</t>
        </is>
      </c>
      <c r="F103" s="6" t="inlineStr">
        <is>
          <t>Cambias a un insumo más barato por 3 meses y lo informas después.</t>
        </is>
      </c>
      <c r="G103" s="6" t="inlineStr">
        <is>
          <t>Costo</t>
        </is>
      </c>
      <c r="H103" s="6" t="inlineStr">
        <is>
          <t>Atajo</t>
        </is>
      </c>
      <c r="I103" s="4" t="n"/>
      <c r="J103" s="4" t="n"/>
      <c r="K103" s="4" t="n"/>
      <c r="L103" s="6" t="inlineStr">
        <is>
          <t>Your only supplier is 3 weeks late on an input that is 30% of cost.</t>
        </is>
      </c>
      <c r="M103" s="6" t="inlineStr">
        <is>
          <t>Alternative input</t>
        </is>
      </c>
      <c r="N103" s="6" t="inlineStr">
        <is>
          <t>You switch to a cheaper input for 3 months and tell the client afterwards.</t>
        </is>
      </c>
      <c r="O103" s="4" t="n"/>
    </row>
    <row r="104" ht="40.5" customHeight="1">
      <c r="A104" s="6" t="inlineStr">
        <is>
          <t>m07p</t>
        </is>
      </c>
      <c r="B104" s="6" t="inlineStr">
        <is>
          <t>Cualquiera</t>
        </is>
      </c>
      <c r="C104" s="6" t="inlineStr">
        <is>
          <t>PLANTA</t>
        </is>
      </c>
      <c r="D104" s="6" t="inlineStr">
        <is>
          <t>Tu único proveedor se atrasa 3 semanas con un insumo que pesa 30% del costo.</t>
        </is>
      </c>
      <c r="E104" s="6" t="inlineStr">
        <is>
          <t>Flete urgente</t>
        </is>
      </c>
      <c r="F104" s="6" t="inlineStr">
        <is>
          <t>Traes el insumo en avión a cualquier tarifa y evitas la espera.</t>
        </is>
      </c>
      <c r="G104" s="6" t="inlineStr">
        <is>
          <t>Costo</t>
        </is>
      </c>
      <c r="H104" s="6" t="inlineStr">
        <is>
          <t>Ceder</t>
        </is>
      </c>
      <c r="I104" s="4" t="n"/>
      <c r="J104" s="4" t="n"/>
      <c r="K104" s="4" t="n"/>
      <c r="L104" s="6" t="inlineStr">
        <is>
          <t>Your only supplier is 3 weeks late on an input that is 30% of cost.</t>
        </is>
      </c>
      <c r="M104" s="6" t="inlineStr">
        <is>
          <t>Urgent freight</t>
        </is>
      </c>
      <c r="N104" s="6" t="inlineStr">
        <is>
          <t>You fly the input in at any rate and cover the week.</t>
        </is>
      </c>
      <c r="O104" s="4" t="n"/>
    </row>
    <row r="105" ht="40.5" customHeight="1">
      <c r="A105" s="6" t="inlineStr">
        <is>
          <t>m07p</t>
        </is>
      </c>
      <c r="B105" s="6" t="inlineStr">
        <is>
          <t>Cualquiera</t>
        </is>
      </c>
      <c r="C105" s="6" t="inlineStr">
        <is>
          <t>PLANTA</t>
        </is>
      </c>
      <c r="D105" s="6" t="inlineStr">
        <is>
          <t>Tu único proveedor se atrasa 3 semanas con un insumo que pesa 30% del costo.</t>
        </is>
      </c>
      <c r="E105" s="6" t="inlineStr">
        <is>
          <t>Plan único</t>
        </is>
      </c>
      <c r="F105" s="6" t="inlineStr">
        <is>
          <t>Conservas al proveedor único y confías en recuperar el atraso solo.</t>
        </is>
      </c>
      <c r="G105" s="6" t="inlineStr">
        <is>
          <t>Costo</t>
        </is>
      </c>
      <c r="H105" s="6" t="inlineStr">
        <is>
          <t>Pasiva</t>
        </is>
      </c>
      <c r="I105" s="4" t="n"/>
      <c r="J105" s="4" t="n"/>
      <c r="K105" s="4" t="n"/>
      <c r="L105" s="6" t="inlineStr">
        <is>
          <t>Your only supplier is 3 weeks late on an input that is 30% of cost.</t>
        </is>
      </c>
      <c r="M105" s="6" t="inlineStr">
        <is>
          <t>Single plan</t>
        </is>
      </c>
      <c r="N105" s="6" t="inlineStr">
        <is>
          <t>You stay with the only supplier and trust it to recover the delay.</t>
        </is>
      </c>
      <c r="O105" s="4" t="n"/>
    </row>
    <row r="106" ht="27" customHeight="1">
      <c r="A106" s="6" t="inlineStr">
        <is>
          <t>m07e</t>
        </is>
      </c>
      <c r="B106" s="6" t="inlineStr">
        <is>
          <t>6 a 8</t>
        </is>
      </c>
      <c r="C106" s="6" t="inlineStr">
        <is>
          <t>ENTORNO</t>
        </is>
      </c>
      <c r="D106" s="6" t="inlineStr">
        <is>
          <t>Un temporal de nieve cierra el paso a las faenas por 7 días.</t>
        </is>
      </c>
      <c r="E106" s="6" t="inlineStr">
        <is>
          <t>Stock en la faena</t>
        </is>
      </c>
      <c r="F106" s="6" t="inlineStr">
        <is>
          <t>Adelantas stock a la bodega del cliente por 10 días y reprogramas despachos.</t>
        </is>
      </c>
      <c r="G106" s="6" t="inlineStr">
        <is>
          <t>Flete</t>
        </is>
      </c>
      <c r="H106" s="6" t="inlineStr">
        <is>
          <t>Equilibrada</t>
        </is>
      </c>
      <c r="I106" s="4" t="n"/>
      <c r="J106" s="4" t="n"/>
      <c r="K106" s="4" t="n"/>
      <c r="L106" s="6" t="inlineStr">
        <is>
          <t>A snowstorm closes the pass to the sites for 7 days.</t>
        </is>
      </c>
      <c r="M106" s="6" t="inlineStr">
        <is>
          <t>Stock on site</t>
        </is>
      </c>
      <c r="N106" s="6" t="inlineStr">
        <is>
          <t>You move stock to the client's warehouse for 10 days and reschedule trips.</t>
        </is>
      </c>
      <c r="O106" s="4" t="n"/>
    </row>
    <row r="107" ht="27" customHeight="1">
      <c r="A107" s="6" t="inlineStr">
        <is>
          <t>m07e</t>
        </is>
      </c>
      <c r="B107" s="6" t="inlineStr">
        <is>
          <t>6 a 8</t>
        </is>
      </c>
      <c r="C107" s="6" t="inlineStr">
        <is>
          <t>ENTORNO</t>
        </is>
      </c>
      <c r="D107" s="6" t="inlineStr">
        <is>
          <t>Un temporal de nieve cierra el paso a las faenas por 7 días.</t>
        </is>
      </c>
      <c r="E107" s="6" t="inlineStr">
        <is>
          <t>Ventana de calma</t>
        </is>
      </c>
      <c r="F107" s="6" t="inlineStr">
        <is>
          <t>Envías camiones en la ventana de calma y llegas antes del cierre.</t>
        </is>
      </c>
      <c r="G107" s="6" t="inlineStr">
        <is>
          <t>Flete</t>
        </is>
      </c>
      <c r="H107" s="6" t="inlineStr">
        <is>
          <t>Atajo</t>
        </is>
      </c>
      <c r="I107" s="4" t="n"/>
      <c r="J107" s="4" t="n"/>
      <c r="K107" s="4" t="n"/>
      <c r="L107" s="6" t="inlineStr">
        <is>
          <t>A snowstorm closes the pass to the sites for 7 days.</t>
        </is>
      </c>
      <c r="M107" s="6" t="inlineStr">
        <is>
          <t>Calm window</t>
        </is>
      </c>
      <c r="N107" s="6" t="inlineStr">
        <is>
          <t>You send trucks in the calm window and arrive before the close.</t>
        </is>
      </c>
      <c r="O107" s="4" t="n"/>
    </row>
    <row r="108" ht="27" customHeight="1">
      <c r="A108" s="6" t="inlineStr">
        <is>
          <t>m07e</t>
        </is>
      </c>
      <c r="B108" s="6" t="inlineStr">
        <is>
          <t>6 a 8</t>
        </is>
      </c>
      <c r="C108" s="6" t="inlineStr">
        <is>
          <t>ENTORNO</t>
        </is>
      </c>
      <c r="D108" s="6" t="inlineStr">
        <is>
          <t>Un temporal de nieve cierra el paso a las faenas por 7 días.</t>
        </is>
      </c>
      <c r="E108" s="6" t="inlineStr">
        <is>
          <t>Envío aéreo</t>
        </is>
      </c>
      <c r="F108" s="6" t="inlineStr">
        <is>
          <t>Llevas lo crítico con envíos aéreos para que nada se atrase.</t>
        </is>
      </c>
      <c r="G108" s="6" t="inlineStr">
        <is>
          <t>Flete</t>
        </is>
      </c>
      <c r="H108" s="6" t="inlineStr">
        <is>
          <t>Ceder</t>
        </is>
      </c>
      <c r="I108" s="4" t="n"/>
      <c r="J108" s="4" t="n"/>
      <c r="K108" s="4" t="n"/>
      <c r="L108" s="6" t="inlineStr">
        <is>
          <t>A snowstorm closes the pass to the sites for 7 days.</t>
        </is>
      </c>
      <c r="M108" s="6" t="inlineStr">
        <is>
          <t>Air shipment</t>
        </is>
      </c>
      <c r="N108" s="6" t="inlineStr">
        <is>
          <t>You cover the critical items by air so that nothing slips.</t>
        </is>
      </c>
      <c r="O108" s="4" t="n"/>
    </row>
    <row r="109" ht="27" customHeight="1">
      <c r="A109" s="6" t="inlineStr">
        <is>
          <t>m07e</t>
        </is>
      </c>
      <c r="B109" s="6" t="inlineStr">
        <is>
          <t>6 a 8</t>
        </is>
      </c>
      <c r="C109" s="6" t="inlineStr">
        <is>
          <t>ENTORNO</t>
        </is>
      </c>
      <c r="D109" s="6" t="inlineStr">
        <is>
          <t>Un temporal de nieve cierra el paso a las faenas por 7 días.</t>
        </is>
      </c>
      <c r="E109" s="6" t="inlineStr">
        <is>
          <t>Paso bloqueado</t>
        </is>
      </c>
      <c r="F109" s="6" t="inlineStr">
        <is>
          <t>Detienes despachos con el paso bloqueado, 7 días.</t>
        </is>
      </c>
      <c r="G109" s="6" t="inlineStr">
        <is>
          <t>Flete</t>
        </is>
      </c>
      <c r="H109" s="6" t="inlineStr">
        <is>
          <t>Pasiva</t>
        </is>
      </c>
      <c r="I109" s="4" t="n"/>
      <c r="J109" s="4" t="n"/>
      <c r="K109" s="4" t="n"/>
      <c r="L109" s="6" t="inlineStr">
        <is>
          <t>A snowstorm closes the pass to the sites for 7 days.</t>
        </is>
      </c>
      <c r="M109" s="6" t="inlineStr">
        <is>
          <t>Closed pass</t>
        </is>
      </c>
      <c r="N109" s="6" t="inlineStr">
        <is>
          <t>You halt shipments with the pass closed, about 7 days.</t>
        </is>
      </c>
      <c r="O109" s="4" t="n"/>
    </row>
    <row r="110" ht="27" customHeight="1">
      <c r="A110" s="6" t="inlineStr">
        <is>
          <t>m07s</t>
        </is>
      </c>
      <c r="B110" s="6" t="inlineStr">
        <is>
          <t>Cualquiera</t>
        </is>
      </c>
      <c r="C110" s="6" t="inlineStr">
        <is>
          <t>ESTRATEGIA</t>
        </is>
      </c>
      <c r="D110" s="6" t="inlineStr">
        <is>
          <t>Corporativo propone reorganizar el equipo y bajar 10% la dotación.</t>
        </is>
      </c>
      <c r="E110" s="6" t="inlineStr">
        <is>
          <t>Rediseñar roles</t>
        </is>
      </c>
      <c r="F110" s="6" t="inlineStr">
        <is>
          <t>Reasignas funciones y automatizas los procesos antes de bajar 4 cargos.</t>
        </is>
      </c>
      <c r="G110" s="6" t="inlineStr">
        <is>
          <t>SG&amp;A</t>
        </is>
      </c>
      <c r="H110" s="6" t="inlineStr">
        <is>
          <t>Equilibrada</t>
        </is>
      </c>
      <c r="I110" s="4" t="n"/>
      <c r="J110" s="4" t="n"/>
      <c r="K110" s="4" t="n"/>
      <c r="L110" s="6" t="inlineStr">
        <is>
          <t>Corporate proposes reorganizing the team and cutting headcount 10%.</t>
        </is>
      </c>
      <c r="M110" s="6" t="inlineStr">
        <is>
          <t>Redesign roles</t>
        </is>
      </c>
      <c r="N110" s="6" t="inlineStr">
        <is>
          <t>You reassign duties and automate processes before cutting 4 posts.</t>
        </is>
      </c>
      <c r="O110" s="4" t="n"/>
    </row>
    <row r="111" ht="27" customHeight="1">
      <c r="A111" s="6" t="inlineStr">
        <is>
          <t>m07s</t>
        </is>
      </c>
      <c r="B111" s="6" t="inlineStr">
        <is>
          <t>Cualquiera</t>
        </is>
      </c>
      <c r="C111" s="6" t="inlineStr">
        <is>
          <t>ESTRATEGIA</t>
        </is>
      </c>
      <c r="D111" s="6" t="inlineStr">
        <is>
          <t>Corporativo propone reorganizar el equipo y bajar 10% la dotación.</t>
        </is>
      </c>
      <c r="E111" s="6" t="inlineStr">
        <is>
          <t>Bajar 10% parejo</t>
        </is>
      </c>
      <c r="F111" s="6" t="inlineStr">
        <is>
          <t>Reduces la dotación 10% en cada área para cumplir la meta del trimestre.</t>
        </is>
      </c>
      <c r="G111" s="6" t="inlineStr">
        <is>
          <t>SG&amp;A</t>
        </is>
      </c>
      <c r="H111" s="6" t="inlineStr">
        <is>
          <t>Atajo</t>
        </is>
      </c>
      <c r="I111" s="4" t="n"/>
      <c r="J111" s="4" t="n"/>
      <c r="K111" s="4" t="n"/>
      <c r="L111" s="6" t="inlineStr">
        <is>
          <t>Corporate proposes reorganizing the team and cutting headcount 10%.</t>
        </is>
      </c>
      <c r="M111" s="6" t="inlineStr">
        <is>
          <t>Cut 10% evenly</t>
        </is>
      </c>
      <c r="N111" s="6" t="inlineStr">
        <is>
          <t>You cut headcount 10% in each area to meet the quarter's goal.</t>
        </is>
      </c>
      <c r="O111" s="4" t="n"/>
    </row>
    <row r="112" ht="27" customHeight="1">
      <c r="A112" s="6" t="inlineStr">
        <is>
          <t>m07s</t>
        </is>
      </c>
      <c r="B112" s="6" t="inlineStr">
        <is>
          <t>Cualquiera</t>
        </is>
      </c>
      <c r="C112" s="6" t="inlineStr">
        <is>
          <t>ESTRATEGIA</t>
        </is>
      </c>
      <c r="D112" s="6" t="inlineStr">
        <is>
          <t>Corporativo propone reorganizar el equipo y bajar 10% la dotación.</t>
        </is>
      </c>
      <c r="E112" s="6" t="inlineStr">
        <is>
          <t>Mantener equipo</t>
        </is>
      </c>
      <c r="F112" s="6" t="inlineStr">
        <is>
          <t>Conservas la dotación con la promesa de mejorar la productividad en 6 meses.</t>
        </is>
      </c>
      <c r="G112" s="6" t="inlineStr">
        <is>
          <t>SG&amp;A</t>
        </is>
      </c>
      <c r="H112" s="6" t="inlineStr">
        <is>
          <t>Ceder</t>
        </is>
      </c>
      <c r="I112" s="4" t="n"/>
      <c r="J112" s="4" t="n"/>
      <c r="K112" s="4" t="n"/>
      <c r="L112" s="6" t="inlineStr">
        <is>
          <t>Corporate proposes reorganizing the team and cutting headcount 10%.</t>
        </is>
      </c>
      <c r="M112" s="6" t="inlineStr">
        <is>
          <t>Keep the team</t>
        </is>
      </c>
      <c r="N112" s="6" t="inlineStr">
        <is>
          <t>You keep headcount with a promise to improve productivity in 6 months.</t>
        </is>
      </c>
      <c r="O112" s="4" t="n"/>
    </row>
    <row r="113" ht="27" customHeight="1">
      <c r="A113" s="6" t="inlineStr">
        <is>
          <t>m07s</t>
        </is>
      </c>
      <c r="B113" s="6" t="inlineStr">
        <is>
          <t>Cualquiera</t>
        </is>
      </c>
      <c r="C113" s="6" t="inlineStr">
        <is>
          <t>ESTRATEGIA</t>
        </is>
      </c>
      <c r="D113" s="6" t="inlineStr">
        <is>
          <t>Corporativo propone reorganizar el equipo y bajar 10% la dotación.</t>
        </is>
      </c>
      <c r="E113" s="6" t="inlineStr">
        <is>
          <t>Aplazar el tema</t>
        </is>
      </c>
      <c r="F113" s="6" t="inlineStr">
        <is>
          <t>Aplazas la reorganización y la retomas en el segundo semestre.</t>
        </is>
      </c>
      <c r="G113" s="6" t="inlineStr">
        <is>
          <t>SG&amp;A</t>
        </is>
      </c>
      <c r="H113" s="6" t="inlineStr">
        <is>
          <t>Pasiva</t>
        </is>
      </c>
      <c r="I113" s="4" t="n"/>
      <c r="J113" s="4" t="n"/>
      <c r="K113" s="4" t="n"/>
      <c r="L113" s="6" t="inlineStr">
        <is>
          <t>Corporate proposes reorganizing the team and cutting headcount 10%.</t>
        </is>
      </c>
      <c r="M113" s="6" t="inlineStr">
        <is>
          <t>Defer the topic</t>
        </is>
      </c>
      <c r="N113" s="6" t="inlineStr">
        <is>
          <t>You defer the reorganization and pick it up in the second half.</t>
        </is>
      </c>
      <c r="O113" s="4" t="n"/>
    </row>
    <row r="114" ht="27" customHeight="1">
      <c r="A114" s="6" t="inlineStr">
        <is>
          <t>m08c</t>
        </is>
      </c>
      <c r="B114" s="6" t="inlineStr">
        <is>
          <t>Cualquiera</t>
        </is>
      </c>
      <c r="C114" s="6" t="inlineStr">
        <is>
          <t>CLIENTE</t>
        </is>
      </c>
      <c r="D114" s="6" t="inlineStr">
        <is>
          <t>El nuevo jefe de compras de un cliente (16% de ventas) quiere licitar.</t>
        </is>
      </c>
      <c r="E114" s="6" t="inlineStr">
        <is>
          <t>Reunión de valor</t>
        </is>
      </c>
      <c r="F114" s="6" t="inlineStr">
        <is>
          <t>Presentas resultados medidos para proponer un rebate escalonado a 2 años.</t>
        </is>
      </c>
      <c r="G114" s="6" t="inlineStr">
        <is>
          <t>Incentivos</t>
        </is>
      </c>
      <c r="H114" s="6" t="inlineStr">
        <is>
          <t>Equilibrada</t>
        </is>
      </c>
      <c r="I114" s="4" t="n"/>
      <c r="J114" s="4" t="n"/>
      <c r="K114" s="4" t="n"/>
      <c r="L114" s="6" t="inlineStr">
        <is>
          <t>A client's new procurement head (16% of sales) wants to tender.</t>
        </is>
      </c>
      <c r="M114" s="6" t="inlineStr">
        <is>
          <t>Value meeting</t>
        </is>
      </c>
      <c r="N114" s="6" t="inlineStr">
        <is>
          <t>You present measured results and offer a tiered rebate over 2 years.</t>
        </is>
      </c>
      <c r="O114" s="4" t="n"/>
    </row>
    <row r="115" ht="27" customHeight="1">
      <c r="A115" s="6" t="inlineStr">
        <is>
          <t>m08c</t>
        </is>
      </c>
      <c r="B115" s="6" t="inlineStr">
        <is>
          <t>Cualquiera</t>
        </is>
      </c>
      <c r="C115" s="6" t="inlineStr">
        <is>
          <t>CLIENTE</t>
        </is>
      </c>
      <c r="D115" s="6" t="inlineStr">
        <is>
          <t>El nuevo jefe de compras de un cliente (16% de ventas) quiere licitar.</t>
        </is>
      </c>
      <c r="E115" s="6" t="inlineStr">
        <is>
          <t>Precio base bajo</t>
        </is>
      </c>
      <c r="F115" s="6" t="inlineStr">
        <is>
          <t>Entras con un precio base 6% menor y cobras los servicios aparte.</t>
        </is>
      </c>
      <c r="G115" s="6" t="inlineStr">
        <is>
          <t>Ventas</t>
        </is>
      </c>
      <c r="H115" s="6" t="inlineStr">
        <is>
          <t>Atajo</t>
        </is>
      </c>
      <c r="I115" s="4" t="n"/>
      <c r="J115" s="4" t="n"/>
      <c r="K115" s="4" t="n"/>
      <c r="L115" s="6" t="inlineStr">
        <is>
          <t>A client's new procurement head (16% of sales) wants to tender.</t>
        </is>
      </c>
      <c r="M115" s="6" t="inlineStr">
        <is>
          <t>Low base price</t>
        </is>
      </c>
      <c r="N115" s="6" t="inlineStr">
        <is>
          <t>You enter with a base price 6% lower and charge services apart.</t>
        </is>
      </c>
      <c r="O115" s="4" t="n"/>
    </row>
    <row r="116" ht="27" customHeight="1">
      <c r="A116" s="6" t="inlineStr">
        <is>
          <t>m08c</t>
        </is>
      </c>
      <c r="B116" s="6" t="inlineStr">
        <is>
          <t>Cualquiera</t>
        </is>
      </c>
      <c r="C116" s="6" t="inlineStr">
        <is>
          <t>CLIENTE</t>
        </is>
      </c>
      <c r="D116" s="6" t="inlineStr">
        <is>
          <t>El nuevo jefe de compras de un cliente (16% de ventas) quiere licitar.</t>
        </is>
      </c>
      <c r="E116" s="6" t="inlineStr">
        <is>
          <t>Licitar al mínimo</t>
        </is>
      </c>
      <c r="F116" s="6" t="inlineStr">
        <is>
          <t>Ofreces el precio más bajo posible por contratos de 3 años.</t>
        </is>
      </c>
      <c r="G116" s="6" t="inlineStr">
        <is>
          <t>Ventas</t>
        </is>
      </c>
      <c r="H116" s="6" t="inlineStr">
        <is>
          <t>Ceder</t>
        </is>
      </c>
      <c r="I116" s="4" t="n"/>
      <c r="J116" s="4" t="n"/>
      <c r="K116" s="4" t="n"/>
      <c r="L116" s="6" t="inlineStr">
        <is>
          <t>A client's new procurement head (16% of sales) wants to tender.</t>
        </is>
      </c>
      <c r="M116" s="6" t="inlineStr">
        <is>
          <t>Bid the minimum</t>
        </is>
      </c>
      <c r="N116" s="6" t="inlineStr">
        <is>
          <t>You offer the lowest price possible on 3-year contracts.</t>
        </is>
      </c>
      <c r="O116" s="4" t="n"/>
    </row>
    <row r="117" ht="27" customHeight="1">
      <c r="A117" s="6" t="inlineStr">
        <is>
          <t>m08c</t>
        </is>
      </c>
      <c r="B117" s="6" t="inlineStr">
        <is>
          <t>Cualquiera</t>
        </is>
      </c>
      <c r="C117" s="6" t="inlineStr">
        <is>
          <t>CLIENTE</t>
        </is>
      </c>
      <c r="D117" s="6" t="inlineStr">
        <is>
          <t>El nuevo jefe de compras de un cliente (16% de ventas) quiere licitar.</t>
        </is>
      </c>
      <c r="E117" s="6" t="inlineStr">
        <is>
          <t>Invitación formal</t>
        </is>
      </c>
      <c r="F117" s="6" t="inlineStr">
        <is>
          <t>Recibes la invitación formal y preparas tu cotización en 10 días.</t>
        </is>
      </c>
      <c r="G117" s="6" t="inlineStr">
        <is>
          <t>Ventas</t>
        </is>
      </c>
      <c r="H117" s="6" t="inlineStr">
        <is>
          <t>Pasiva</t>
        </is>
      </c>
      <c r="I117" s="4" t="n"/>
      <c r="J117" s="4" t="n"/>
      <c r="K117" s="4" t="n"/>
      <c r="L117" s="6" t="inlineStr">
        <is>
          <t>A client's new procurement head (16% of sales) wants to tender.</t>
        </is>
      </c>
      <c r="M117" s="6" t="inlineStr">
        <is>
          <t>Formal invitation</t>
        </is>
      </c>
      <c r="N117" s="6" t="inlineStr">
        <is>
          <t>You await the formal invitation and prepare the offer in 10 days.</t>
        </is>
      </c>
      <c r="O117" s="4" t="n"/>
    </row>
    <row r="118" ht="27" customHeight="1">
      <c r="A118" s="6" t="inlineStr">
        <is>
          <t>m08p</t>
        </is>
      </c>
      <c r="B118" s="6" t="inlineStr">
        <is>
          <t>Cualquiera</t>
        </is>
      </c>
      <c r="C118" s="6" t="inlineStr">
        <is>
          <t>PLANTA</t>
        </is>
      </c>
      <c r="D118" s="6" t="inlineStr">
        <is>
          <t>La demanda supera 12% la capacidad de la planta por 3 meses.</t>
        </is>
      </c>
      <c r="E118" s="6" t="inlineStr">
        <is>
          <t>Turno adicional</t>
        </is>
      </c>
      <c r="F118" s="6" t="inlineStr">
        <is>
          <t>Agregas un turno planificado y mantienes la prioridad por margen en producción.</t>
        </is>
      </c>
      <c r="G118" s="6" t="inlineStr">
        <is>
          <t>Costo</t>
        </is>
      </c>
      <c r="H118" s="6" t="inlineStr">
        <is>
          <t>Equilibrada</t>
        </is>
      </c>
      <c r="I118" s="4" t="n"/>
      <c r="J118" s="4" t="n"/>
      <c r="K118" s="4" t="n"/>
      <c r="L118" s="6" t="inlineStr">
        <is>
          <t>Demand exceeds plant capacity by 12% for 3 months.</t>
        </is>
      </c>
      <c r="M118" s="6" t="inlineStr">
        <is>
          <t>Extra shift</t>
        </is>
      </c>
      <c r="N118" s="6" t="inlineStr">
        <is>
          <t>You add a planned shift and keep the priority by margin in production.</t>
        </is>
      </c>
      <c r="O118" s="4" t="n"/>
    </row>
    <row r="119" ht="27" customHeight="1">
      <c r="A119" s="6" t="inlineStr">
        <is>
          <t>m08p</t>
        </is>
      </c>
      <c r="B119" s="6" t="inlineStr">
        <is>
          <t>Cualquiera</t>
        </is>
      </c>
      <c r="C119" s="6" t="inlineStr">
        <is>
          <t>PLANTA</t>
        </is>
      </c>
      <c r="D119" s="6" t="inlineStr">
        <is>
          <t>La demanda supera 12% la capacidad de la planta por 3 meses.</t>
        </is>
      </c>
      <c r="E119" s="6" t="inlineStr">
        <is>
          <t>Planta sin pausa</t>
        </is>
      </c>
      <c r="F119" s="6" t="inlineStr">
        <is>
          <t>Operas la línea 24 horas por 3 meses y postergas las mantenciones.</t>
        </is>
      </c>
      <c r="G119" s="6" t="inlineStr">
        <is>
          <t>Costo</t>
        </is>
      </c>
      <c r="H119" s="6" t="inlineStr">
        <is>
          <t>Atajo</t>
        </is>
      </c>
      <c r="I119" s="4" t="n"/>
      <c r="J119" s="4" t="n"/>
      <c r="K119" s="4" t="n"/>
      <c r="L119" s="6" t="inlineStr">
        <is>
          <t>Demand exceeds plant capacity by 12% for 3 months.</t>
        </is>
      </c>
      <c r="M119" s="6" t="inlineStr">
        <is>
          <t>Plant nonstop</t>
        </is>
      </c>
      <c r="N119" s="6" t="inlineStr">
        <is>
          <t>You run the line 24 hours for 3 months and postpone maintenance.</t>
        </is>
      </c>
      <c r="O119" s="4" t="n"/>
    </row>
    <row r="120" ht="27" customHeight="1">
      <c r="A120" s="6" t="inlineStr">
        <is>
          <t>m08p</t>
        </is>
      </c>
      <c r="B120" s="6" t="inlineStr">
        <is>
          <t>Cualquiera</t>
        </is>
      </c>
      <c r="C120" s="6" t="inlineStr">
        <is>
          <t>PLANTA</t>
        </is>
      </c>
      <c r="D120" s="6" t="inlineStr">
        <is>
          <t>La demanda supera 12% la capacidad de la planta por 3 meses.</t>
        </is>
      </c>
      <c r="E120" s="6" t="inlineStr">
        <is>
          <t>Tomar los pedidos</t>
        </is>
      </c>
      <c r="F120" s="6" t="inlineStr">
        <is>
          <t>Tomas los pedidos de los 3 meses y negocias los plazos después.</t>
        </is>
      </c>
      <c r="G120" s="6" t="inlineStr">
        <is>
          <t>Costo</t>
        </is>
      </c>
      <c r="H120" s="6" t="inlineStr">
        <is>
          <t>Ceder</t>
        </is>
      </c>
      <c r="I120" s="4" t="n"/>
      <c r="J120" s="4" t="n"/>
      <c r="K120" s="4" t="n"/>
      <c r="L120" s="6" t="inlineStr">
        <is>
          <t>Demand exceeds plant capacity by 12% for 3 months.</t>
        </is>
      </c>
      <c r="M120" s="6" t="inlineStr">
        <is>
          <t>Take the orders</t>
        </is>
      </c>
      <c r="N120" s="6" t="inlineStr">
        <is>
          <t>You take the orders of the 3 months and settle lead times with them afterwards.</t>
        </is>
      </c>
      <c r="O120" s="4" t="n"/>
    </row>
    <row r="121" ht="27" customHeight="1">
      <c r="A121" s="6" t="inlineStr">
        <is>
          <t>m08p</t>
        </is>
      </c>
      <c r="B121" s="6" t="inlineStr">
        <is>
          <t>Cualquiera</t>
        </is>
      </c>
      <c r="C121" s="6" t="inlineStr">
        <is>
          <t>PLANTA</t>
        </is>
      </c>
      <c r="D121" s="6" t="inlineStr">
        <is>
          <t>La demanda supera 12% la capacidad de la planta por 3 meses.</t>
        </is>
      </c>
      <c r="E121" s="6" t="inlineStr">
        <is>
          <t>Mantener la rutina</t>
        </is>
      </c>
      <c r="F121" s="6" t="inlineStr">
        <is>
          <t>Operas con el plan vigente y la demanda se ordena sola.</t>
        </is>
      </c>
      <c r="G121" s="6" t="inlineStr">
        <is>
          <t>Costo</t>
        </is>
      </c>
      <c r="H121" s="6" t="inlineStr">
        <is>
          <t>Pasiva</t>
        </is>
      </c>
      <c r="I121" s="4" t="n"/>
      <c r="J121" s="4" t="n"/>
      <c r="K121" s="4" t="n"/>
      <c r="L121" s="6" t="inlineStr">
        <is>
          <t>Demand exceeds plant capacity by 12% for 3 months.</t>
        </is>
      </c>
      <c r="M121" s="6" t="inlineStr">
        <is>
          <t>Keep the routine</t>
        </is>
      </c>
      <c r="N121" s="6" t="inlineStr">
        <is>
          <t>You run the standing plan and demand sorts itself out.</t>
        </is>
      </c>
      <c r="O121" s="4" t="n"/>
    </row>
    <row r="122" ht="27" customHeight="1">
      <c r="A122" s="6" t="inlineStr">
        <is>
          <t>m08e</t>
        </is>
      </c>
      <c r="B122" s="6" t="inlineStr">
        <is>
          <t>Cualquiera</t>
        </is>
      </c>
      <c r="C122" s="6" t="inlineStr">
        <is>
          <t>ENTORNO</t>
        </is>
      </c>
      <c r="D122" s="6" t="inlineStr">
        <is>
          <t>El dólar sube 10% y tu costo de insumos importados también.</t>
        </is>
      </c>
      <c r="E122" s="6" t="inlineStr">
        <is>
          <t>Traspaso gradual</t>
        </is>
      </c>
      <c r="F122" s="6" t="inlineStr">
        <is>
          <t>Subes por etapas la mitad del alza en los precios con aviso de 30 días.</t>
        </is>
      </c>
      <c r="G122" s="6" t="inlineStr">
        <is>
          <t>Ventas</t>
        </is>
      </c>
      <c r="H122" s="6" t="inlineStr">
        <is>
          <t>Equilibrada</t>
        </is>
      </c>
      <c r="I122" s="4" t="n"/>
      <c r="J122" s="4" t="n"/>
      <c r="K122" s="4" t="n"/>
      <c r="L122" s="6" t="inlineStr">
        <is>
          <t>The dollar rises 10% and so does your imported input cost.</t>
        </is>
      </c>
      <c r="M122" s="6" t="inlineStr">
        <is>
          <t>Phased pass-through</t>
        </is>
      </c>
      <c r="N122" s="6" t="inlineStr">
        <is>
          <t>You pass half of the rise into prices in stages, giving 30 days' notice.</t>
        </is>
      </c>
      <c r="O122" s="4" t="n"/>
    </row>
    <row r="123" ht="27" customHeight="1">
      <c r="A123" s="6" t="inlineStr">
        <is>
          <t>m08e</t>
        </is>
      </c>
      <c r="B123" s="6" t="inlineStr">
        <is>
          <t>Cualquiera</t>
        </is>
      </c>
      <c r="C123" s="6" t="inlineStr">
        <is>
          <t>ENTORNO</t>
        </is>
      </c>
      <c r="D123" s="6" t="inlineStr">
        <is>
          <t>El dólar sube 10% y tu costo de insumos importados también.</t>
        </is>
      </c>
      <c r="E123" s="6" t="inlineStr">
        <is>
          <t>Alza inmediata</t>
        </is>
      </c>
      <c r="F123" s="6" t="inlineStr">
        <is>
          <t>Reajustas los precios 10% de una vez y compensas el alza del mes.</t>
        </is>
      </c>
      <c r="G123" s="6" t="inlineStr">
        <is>
          <t>Ventas</t>
        </is>
      </c>
      <c r="H123" s="6" t="inlineStr">
        <is>
          <t>Atajo</t>
        </is>
      </c>
      <c r="I123" s="4" t="n"/>
      <c r="J123" s="4" t="n"/>
      <c r="K123" s="4" t="n"/>
      <c r="L123" s="6" t="inlineStr">
        <is>
          <t>The dollar rises 10% and so does your imported input cost.</t>
        </is>
      </c>
      <c r="M123" s="6" t="inlineStr">
        <is>
          <t>One-step increase</t>
        </is>
      </c>
      <c r="N123" s="6" t="inlineStr">
        <is>
          <t>You adjust prices 10% at once and make up the month's rise.</t>
        </is>
      </c>
      <c r="O123" s="4" t="n"/>
    </row>
    <row r="124" ht="27" customHeight="1">
      <c r="A124" s="6" t="inlineStr">
        <is>
          <t>m08e</t>
        </is>
      </c>
      <c r="B124" s="6" t="inlineStr">
        <is>
          <t>Cualquiera</t>
        </is>
      </c>
      <c r="C124" s="6" t="inlineStr">
        <is>
          <t>ENTORNO</t>
        </is>
      </c>
      <c r="D124" s="6" t="inlineStr">
        <is>
          <t>El dólar sube 10% y tu costo de insumos importados también.</t>
        </is>
      </c>
      <c r="E124" s="6" t="inlineStr">
        <is>
          <t>Absorber el alza</t>
        </is>
      </c>
      <c r="F124" s="6" t="inlineStr">
        <is>
          <t>Dejas los precios igual para cuidar a los clientes y el margen paga 10%.</t>
        </is>
      </c>
      <c r="G124" s="6" t="inlineStr">
        <is>
          <t>Costo</t>
        </is>
      </c>
      <c r="H124" s="6" t="inlineStr">
        <is>
          <t>Ceder</t>
        </is>
      </c>
      <c r="I124" s="4" t="n"/>
      <c r="J124" s="4" t="n"/>
      <c r="K124" s="4" t="n"/>
      <c r="L124" s="6" t="inlineStr">
        <is>
          <t>The dollar rises 10% and so does your imported input cost.</t>
        </is>
      </c>
      <c r="M124" s="6" t="inlineStr">
        <is>
          <t>Absorb the rise</t>
        </is>
      </c>
      <c r="N124" s="6" t="inlineStr">
        <is>
          <t>You leave prices as they are to protect clients and the margin pays 10%.</t>
        </is>
      </c>
      <c r="O124" s="4" t="n"/>
    </row>
    <row r="125" ht="27" customHeight="1">
      <c r="A125" s="6" t="inlineStr">
        <is>
          <t>m08e</t>
        </is>
      </c>
      <c r="B125" s="6" t="inlineStr">
        <is>
          <t>Cualquiera</t>
        </is>
      </c>
      <c r="C125" s="6" t="inlineStr">
        <is>
          <t>ENTORNO</t>
        </is>
      </c>
      <c r="D125" s="6" t="inlineStr">
        <is>
          <t>El dólar sube 10% y tu costo de insumos importados también.</t>
        </is>
      </c>
      <c r="E125" s="6" t="inlineStr">
        <is>
          <t>Mirar el dólar</t>
        </is>
      </c>
      <c r="F125" s="6" t="inlineStr">
        <is>
          <t>Usas la lista de precios actual y evalúas el dólar cada 30 días.</t>
        </is>
      </c>
      <c r="G125" s="6" t="inlineStr">
        <is>
          <t>Costo</t>
        </is>
      </c>
      <c r="H125" s="6" t="inlineStr">
        <is>
          <t>Pasiva</t>
        </is>
      </c>
      <c r="I125" s="4" t="n"/>
      <c r="J125" s="4" t="n"/>
      <c r="K125" s="4" t="n"/>
      <c r="L125" s="6" t="inlineStr">
        <is>
          <t>The dollar rises 10% and so does your imported input cost.</t>
        </is>
      </c>
      <c r="M125" s="6" t="inlineStr">
        <is>
          <t>Track the dollar</t>
        </is>
      </c>
      <c r="N125" s="6" t="inlineStr">
        <is>
          <t>You use the price list as is and assess the dollar every 30 days.</t>
        </is>
      </c>
      <c r="O125" s="4" t="n"/>
    </row>
    <row r="126" ht="27" customHeight="1">
      <c r="A126" s="6" t="inlineStr">
        <is>
          <t>m08s</t>
        </is>
      </c>
      <c r="B126" s="6" t="inlineStr">
        <is>
          <t>Cualquiera</t>
        </is>
      </c>
      <c r="C126" s="6" t="inlineStr">
        <is>
          <t>ESTRATEGIA</t>
        </is>
      </c>
      <c r="D126" s="6" t="inlineStr">
        <is>
          <t>Un distribuidor atendería a tus clientes pequeños por 8% de comisión.</t>
        </is>
      </c>
      <c r="E126" s="6" t="inlineStr">
        <is>
          <t>Piloto de 6 meses</t>
        </is>
      </c>
      <c r="F126" s="6" t="inlineStr">
        <is>
          <t>Pruebas con 10 clientes pequeños y comparas el servicio y el margen.</t>
        </is>
      </c>
      <c r="G126" s="6" t="inlineStr">
        <is>
          <t>SG&amp;A</t>
        </is>
      </c>
      <c r="H126" s="6" t="inlineStr">
        <is>
          <t>Equilibrada</t>
        </is>
      </c>
      <c r="I126" s="4" t="n"/>
      <c r="J126" s="4" t="n"/>
      <c r="K126" s="4" t="n"/>
      <c r="L126" s="6" t="inlineStr">
        <is>
          <t>A distributor would serve your small clients for an 8% commission.</t>
        </is>
      </c>
      <c r="M126" s="6" t="inlineStr">
        <is>
          <t>6-month pilot</t>
        </is>
      </c>
      <c r="N126" s="6" t="inlineStr">
        <is>
          <t>You test on 10 small clients and compare service and margin.</t>
        </is>
      </c>
      <c r="O126" s="4" t="n"/>
    </row>
    <row r="127" ht="27" customHeight="1">
      <c r="A127" s="6" t="inlineStr">
        <is>
          <t>m08s</t>
        </is>
      </c>
      <c r="B127" s="6" t="inlineStr">
        <is>
          <t>Cualquiera</t>
        </is>
      </c>
      <c r="C127" s="6" t="inlineStr">
        <is>
          <t>ESTRATEGIA</t>
        </is>
      </c>
      <c r="D127" s="6" t="inlineStr">
        <is>
          <t>Un distribuidor atendería a tus clientes pequeños por 8% de comisión.</t>
        </is>
      </c>
      <c r="E127" s="6" t="inlineStr">
        <is>
          <t>Ceder la cartera</t>
        </is>
      </c>
      <c r="F127" s="6" t="inlineStr">
        <is>
          <t>Cedes la cartera de 120 clientes pequeños para bajar tus costos.</t>
        </is>
      </c>
      <c r="G127" s="6" t="inlineStr">
        <is>
          <t>SG&amp;A</t>
        </is>
      </c>
      <c r="H127" s="6" t="inlineStr">
        <is>
          <t>Atajo</t>
        </is>
      </c>
      <c r="I127" s="4" t="n"/>
      <c r="J127" s="4" t="n"/>
      <c r="K127" s="4" t="n"/>
      <c r="L127" s="6" t="inlineStr">
        <is>
          <t>A distributor would serve your small clients for an 8% commission.</t>
        </is>
      </c>
      <c r="M127" s="6" t="inlineStr">
        <is>
          <t>Hand over the book</t>
        </is>
      </c>
      <c r="N127" s="6" t="inlineStr">
        <is>
          <t>You hand over the book of 120 small clients to cut your costs.</t>
        </is>
      </c>
      <c r="O127" s="4" t="n"/>
    </row>
    <row r="128" ht="27" customHeight="1">
      <c r="A128" s="6" t="inlineStr">
        <is>
          <t>m08s</t>
        </is>
      </c>
      <c r="B128" s="6" t="inlineStr">
        <is>
          <t>Cualquiera</t>
        </is>
      </c>
      <c r="C128" s="6" t="inlineStr">
        <is>
          <t>ESTRATEGIA</t>
        </is>
      </c>
      <c r="D128" s="6" t="inlineStr">
        <is>
          <t>Un distribuidor atendería a tus clientes pequeños por 8% de comisión.</t>
        </is>
      </c>
      <c r="E128" s="6" t="inlineStr">
        <is>
          <t>Pagar la comisión</t>
        </is>
      </c>
      <c r="F128" s="6" t="inlineStr">
        <is>
          <t>Pagas la comisión de 8% con las condiciones que pida el distribuidor.</t>
        </is>
      </c>
      <c r="G128" s="6" t="inlineStr">
        <is>
          <t>Incentivos</t>
        </is>
      </c>
      <c r="H128" s="6" t="inlineStr">
        <is>
          <t>Ceder</t>
        </is>
      </c>
      <c r="I128" s="4" t="n"/>
      <c r="J128" s="4" t="n"/>
      <c r="K128" s="4" t="n"/>
      <c r="L128" s="6" t="inlineStr">
        <is>
          <t>A distributor would serve your small clients for an 8% commission.</t>
        </is>
      </c>
      <c r="M128" s="6" t="inlineStr">
        <is>
          <t>Pay the commission</t>
        </is>
      </c>
      <c r="N128" s="6" t="inlineStr">
        <is>
          <t>You pay the 8% commission on the terms the distributor asks.</t>
        </is>
      </c>
      <c r="O128" s="4" t="n"/>
    </row>
    <row r="129" ht="27" customHeight="1">
      <c r="A129" s="6" t="inlineStr">
        <is>
          <t>m08s</t>
        </is>
      </c>
      <c r="B129" s="6" t="inlineStr">
        <is>
          <t>Cualquiera</t>
        </is>
      </c>
      <c r="C129" s="6" t="inlineStr">
        <is>
          <t>ESTRATEGIA</t>
        </is>
      </c>
      <c r="D129" s="6" t="inlineStr">
        <is>
          <t>Un distribuidor atendería a tus clientes pequeños por 8% de comisión.</t>
        </is>
      </c>
      <c r="E129" s="6" t="inlineStr">
        <is>
          <t>Rechazar el trato</t>
        </is>
      </c>
      <c r="F129" s="6" t="inlineStr">
        <is>
          <t>Rechazas el 8% de comisión por política interna, antes de ver los números.</t>
        </is>
      </c>
      <c r="G129" s="6" t="inlineStr">
        <is>
          <t>Ventas</t>
        </is>
      </c>
      <c r="H129" s="6" t="inlineStr">
        <is>
          <t>Pasiva</t>
        </is>
      </c>
      <c r="I129" s="4" t="n"/>
      <c r="J129" s="4" t="n"/>
      <c r="K129" s="4" t="n"/>
      <c r="L129" s="6" t="inlineStr">
        <is>
          <t>A distributor would serve your small clients for an 8% commission.</t>
        </is>
      </c>
      <c r="M129" s="6" t="inlineStr">
        <is>
          <t>Reject the offer</t>
        </is>
      </c>
      <c r="N129" s="6" t="inlineStr">
        <is>
          <t>You reject the 8% offer on internal policy, before seeing the numbers.</t>
        </is>
      </c>
      <c r="O129" s="4" t="n"/>
    </row>
    <row r="130" ht="27" customHeight="1">
      <c r="A130" s="6" t="inlineStr">
        <is>
          <t>m09c</t>
        </is>
      </c>
      <c r="B130" s="6" t="inlineStr">
        <is>
          <t>Cualquiera</t>
        </is>
      </c>
      <c r="C130" s="6" t="inlineStr">
        <is>
          <t>CLIENTE</t>
        </is>
      </c>
      <c r="D130" s="6" t="inlineStr">
        <is>
          <t>Un cliente (13% de tus ventas) promete 20% más volumen si le bajas 5%.</t>
        </is>
      </c>
      <c r="E130" s="6" t="inlineStr">
        <is>
          <t>Descuento por tramo</t>
        </is>
      </c>
      <c r="F130" s="6" t="inlineStr">
        <is>
          <t>Rebajas 5% en los embarques nuevos y revisas el resultado a los 3 meses.</t>
        </is>
      </c>
      <c r="G130" s="6" t="inlineStr">
        <is>
          <t>Ventas</t>
        </is>
      </c>
      <c r="H130" s="6" t="inlineStr">
        <is>
          <t>Equilibrada</t>
        </is>
      </c>
      <c r="I130" s="4" t="n"/>
      <c r="J130" s="4" t="n"/>
      <c r="K130" s="4" t="n"/>
      <c r="L130" s="6" t="inlineStr">
        <is>
          <t>A client (13% of your sales) promises 20% more volume if you cut 5%.</t>
        </is>
      </c>
      <c r="M130" s="6" t="inlineStr">
        <is>
          <t>Tiered discount</t>
        </is>
      </c>
      <c r="N130" s="6" t="inlineStr">
        <is>
          <t>You cut 5% on the new shipments and review the result after 3 months.</t>
        </is>
      </c>
      <c r="O130" s="4" t="n"/>
    </row>
    <row r="131" ht="27" customHeight="1">
      <c r="A131" s="6" t="inlineStr">
        <is>
          <t>m09c</t>
        </is>
      </c>
      <c r="B131" s="6" t="inlineStr">
        <is>
          <t>Cualquiera</t>
        </is>
      </c>
      <c r="C131" s="6" t="inlineStr">
        <is>
          <t>CLIENTE</t>
        </is>
      </c>
      <c r="D131" s="6" t="inlineStr">
        <is>
          <t>Un cliente (13% de tus ventas) promete 20% más volumen si le bajas 5%.</t>
        </is>
      </c>
      <c r="E131" s="6" t="inlineStr">
        <is>
          <t>Subir al resto</t>
        </is>
      </c>
      <c r="F131" s="6" t="inlineStr">
        <is>
          <t>Aumentas 3% la lista a los clientes chicos, que no negocian, y costeas esto.</t>
        </is>
      </c>
      <c r="G131" s="6" t="inlineStr">
        <is>
          <t>Ventas</t>
        </is>
      </c>
      <c r="H131" s="6" t="inlineStr">
        <is>
          <t>Atajo</t>
        </is>
      </c>
      <c r="I131" s="4" t="n"/>
      <c r="J131" s="4" t="n"/>
      <c r="K131" s="4" t="n"/>
      <c r="L131" s="6" t="inlineStr">
        <is>
          <t>A client (13% of your sales) promises 20% more volume if you cut 5%.</t>
        </is>
      </c>
      <c r="M131" s="6" t="inlineStr">
        <is>
          <t>Charge the others</t>
        </is>
      </c>
      <c r="N131" s="6" t="inlineStr">
        <is>
          <t>You lift the list 3% for minor clients, who rarely haggle, to cover the cost.</t>
        </is>
      </c>
      <c r="O131" s="4" t="n"/>
    </row>
    <row r="132" ht="27" customHeight="1">
      <c r="A132" s="6" t="inlineStr">
        <is>
          <t>m09c</t>
        </is>
      </c>
      <c r="B132" s="6" t="inlineStr">
        <is>
          <t>Cualquiera</t>
        </is>
      </c>
      <c r="C132" s="6" t="inlineStr">
        <is>
          <t>CLIENTE</t>
        </is>
      </c>
      <c r="D132" s="6" t="inlineStr">
        <is>
          <t>Un cliente (13% de tus ventas) promete 20% más volumen si le bajas 5%.</t>
        </is>
      </c>
      <c r="E132" s="6" t="inlineStr">
        <is>
          <t>Dar el 5% a todo</t>
        </is>
      </c>
      <c r="F132" s="6" t="inlineStr">
        <is>
          <t>Concedes 5% de descuento por todo el año y confías en su promesa de crecer.</t>
        </is>
      </c>
      <c r="G132" s="6" t="inlineStr">
        <is>
          <t>Incentivos</t>
        </is>
      </c>
      <c r="H132" s="6" t="inlineStr">
        <is>
          <t>Ceder</t>
        </is>
      </c>
      <c r="I132" s="4" t="n"/>
      <c r="J132" s="4" t="n"/>
      <c r="K132" s="4" t="n"/>
      <c r="L132" s="6" t="inlineStr">
        <is>
          <t>A client (13% of your sales) promises 20% more volume if you cut 5%.</t>
        </is>
      </c>
      <c r="M132" s="6" t="inlineStr">
        <is>
          <t>Give 5% on all</t>
        </is>
      </c>
      <c r="N132" s="6" t="inlineStr">
        <is>
          <t>You grant a 5% discount all year and trust their promise to grow.</t>
        </is>
      </c>
      <c r="O132" s="4" t="n"/>
    </row>
    <row r="133" ht="27" customHeight="1">
      <c r="A133" s="6" t="inlineStr">
        <is>
          <t>m09c</t>
        </is>
      </c>
      <c r="B133" s="6" t="inlineStr">
        <is>
          <t>Cualquiera</t>
        </is>
      </c>
      <c r="C133" s="6" t="inlineStr">
        <is>
          <t>CLIENTE</t>
        </is>
      </c>
      <c r="D133" s="6" t="inlineStr">
        <is>
          <t>Un cliente (13% de tus ventas) promete 20% más volumen si le bajas 5%.</t>
        </is>
      </c>
      <c r="E133" s="6" t="inlineStr">
        <is>
          <t>Pasar al comité</t>
        </is>
      </c>
      <c r="F133" s="6" t="inlineStr">
        <is>
          <t>Dejas la propuesta en el comité de precios, que sesiona en 4 semanas.</t>
        </is>
      </c>
      <c r="G133" s="6" t="inlineStr">
        <is>
          <t>Ventas</t>
        </is>
      </c>
      <c r="H133" s="6" t="inlineStr">
        <is>
          <t>Pasiva</t>
        </is>
      </c>
      <c r="I133" s="4" t="n"/>
      <c r="J133" s="4" t="n"/>
      <c r="K133" s="4" t="n"/>
      <c r="L133" s="6" t="inlineStr">
        <is>
          <t>A client (13% of your sales) promises 20% more volume if you cut 5%.</t>
        </is>
      </c>
      <c r="M133" s="6" t="inlineStr">
        <is>
          <t>Send to committee</t>
        </is>
      </c>
      <c r="N133" s="6" t="inlineStr">
        <is>
          <t>You leave the proposal with the pricing committee, which meets in 4 weeks.</t>
        </is>
      </c>
      <c r="O133" s="4" t="n"/>
    </row>
    <row r="134" ht="40.5" customHeight="1">
      <c r="A134" s="6" t="inlineStr">
        <is>
          <t>m09p</t>
        </is>
      </c>
      <c r="B134" s="6" t="inlineStr">
        <is>
          <t>Cualquiera</t>
        </is>
      </c>
      <c r="C134" s="6" t="inlineStr">
        <is>
          <t>PLANTA</t>
        </is>
      </c>
      <c r="D134" s="6" t="inlineStr">
        <is>
          <t>La tarifa eléctrica sube 12% en horario punta, donde la planta gasta 40%.</t>
        </is>
      </c>
      <c r="E134" s="6" t="inlineStr">
        <is>
          <t>Mover la carga</t>
        </is>
      </c>
      <c r="F134" s="6" t="inlineStr">
        <is>
          <t>Pasas 2 líneas de la planta al turno de noche y mantienes los pedidos.</t>
        </is>
      </c>
      <c r="G134" s="6" t="inlineStr">
        <is>
          <t>Costo</t>
        </is>
      </c>
      <c r="H134" s="6" t="inlineStr">
        <is>
          <t>Equilibrada</t>
        </is>
      </c>
      <c r="I134" s="4" t="n"/>
      <c r="J134" s="4" t="n"/>
      <c r="K134" s="4" t="n"/>
      <c r="L134" s="6" t="inlineStr">
        <is>
          <t>The power tariff rises 12% at peak hours, where the plant uses 40%.</t>
        </is>
      </c>
      <c r="M134" s="6" t="inlineStr">
        <is>
          <t>Shift the load</t>
        </is>
      </c>
      <c r="N134" s="6" t="inlineStr">
        <is>
          <t>You push 2 plant lines to the night shift with the same staff.</t>
        </is>
      </c>
      <c r="O134" s="4" t="n"/>
    </row>
    <row r="135" ht="40.5" customHeight="1">
      <c r="A135" s="6" t="inlineStr">
        <is>
          <t>m09p</t>
        </is>
      </c>
      <c r="B135" s="6" t="inlineStr">
        <is>
          <t>Cualquiera</t>
        </is>
      </c>
      <c r="C135" s="6" t="inlineStr">
        <is>
          <t>PLANTA</t>
        </is>
      </c>
      <c r="D135" s="6" t="inlineStr">
        <is>
          <t>La tarifa eléctrica sube 12% en horario punta, donde la planta gasta 40%.</t>
        </is>
      </c>
      <c r="E135" s="6" t="inlineStr">
        <is>
          <t>Turno corto</t>
        </is>
      </c>
      <c r="F135" s="6" t="inlineStr">
        <is>
          <t>Acortas el turno de tarde en un 25%, con lo que los pedidos chicos se atrasan.</t>
        </is>
      </c>
      <c r="G135" s="6" t="inlineStr">
        <is>
          <t>Costo</t>
        </is>
      </c>
      <c r="H135" s="6" t="inlineStr">
        <is>
          <t>Atajo</t>
        </is>
      </c>
      <c r="I135" s="4" t="n"/>
      <c r="J135" s="4" t="n"/>
      <c r="K135" s="4" t="n"/>
      <c r="L135" s="6" t="inlineStr">
        <is>
          <t>The power tariff rises 12% at peak hours, where the plant uses 40%.</t>
        </is>
      </c>
      <c r="M135" s="6" t="inlineStr">
        <is>
          <t>Short shift</t>
        </is>
      </c>
      <c r="N135" s="6" t="inlineStr">
        <is>
          <t>You cut the afternoon shift by 25% and small orders run late.</t>
        </is>
      </c>
      <c r="O135" s="4" t="n"/>
    </row>
    <row r="136" ht="40.5" customHeight="1">
      <c r="A136" s="6" t="inlineStr">
        <is>
          <t>m09p</t>
        </is>
      </c>
      <c r="B136" s="6" t="inlineStr">
        <is>
          <t>Cualquiera</t>
        </is>
      </c>
      <c r="C136" s="6" t="inlineStr">
        <is>
          <t>PLANTA</t>
        </is>
      </c>
      <c r="D136" s="6" t="inlineStr">
        <is>
          <t>La tarifa eléctrica sube 12% en horario punta, donde la planta gasta 40%.</t>
        </is>
      </c>
      <c r="E136" s="6" t="inlineStr">
        <is>
          <t>Cubrir el alza</t>
        </is>
      </c>
      <c r="F136" s="6" t="inlineStr">
        <is>
          <t>Cubres el alza completa y mantienes los 3 turnos por no tocar la rutina.</t>
        </is>
      </c>
      <c r="G136" s="6" t="inlineStr">
        <is>
          <t>Costo</t>
        </is>
      </c>
      <c r="H136" s="6" t="inlineStr">
        <is>
          <t>Ceder</t>
        </is>
      </c>
      <c r="I136" s="4" t="n"/>
      <c r="J136" s="4" t="n"/>
      <c r="K136" s="4" t="n"/>
      <c r="L136" s="6" t="inlineStr">
        <is>
          <t>The power tariff rises 12% at peak hours, where the plant uses 40%.</t>
        </is>
      </c>
      <c r="M136" s="6" t="inlineStr">
        <is>
          <t>Cover the rise</t>
        </is>
      </c>
      <c r="N136" s="6" t="inlineStr">
        <is>
          <t>You cover the whole rise and keep the 3 shifts to leave the routine alone.</t>
        </is>
      </c>
      <c r="O136" s="4" t="n"/>
    </row>
    <row r="137" ht="40.5" customHeight="1">
      <c r="A137" s="6" t="inlineStr">
        <is>
          <t>m09p</t>
        </is>
      </c>
      <c r="B137" s="6" t="inlineStr">
        <is>
          <t>Cualquiera</t>
        </is>
      </c>
      <c r="C137" s="6" t="inlineStr">
        <is>
          <t>PLANTA</t>
        </is>
      </c>
      <c r="D137" s="6" t="inlineStr">
        <is>
          <t>La tarifa eléctrica sube 12% en horario punta, donde la planta gasta 40%.</t>
        </is>
      </c>
      <c r="E137" s="6" t="inlineStr">
        <is>
          <t>Plan sin cambios</t>
        </is>
      </c>
      <c r="F137" s="6" t="inlineStr">
        <is>
          <t>Sigues con los 3 turnos actuales y la tarifa se revisa dentro de 3 meses.</t>
        </is>
      </c>
      <c r="G137" s="6" t="inlineStr">
        <is>
          <t>Costo</t>
        </is>
      </c>
      <c r="H137" s="6" t="inlineStr">
        <is>
          <t>Pasiva</t>
        </is>
      </c>
      <c r="I137" s="4" t="n"/>
      <c r="J137" s="4" t="n"/>
      <c r="K137" s="4" t="n"/>
      <c r="L137" s="6" t="inlineStr">
        <is>
          <t>The power tariff rises 12% at peak hours, where the plant uses 40%.</t>
        </is>
      </c>
      <c r="M137" s="6" t="inlineStr">
        <is>
          <t>Plan unchanged</t>
        </is>
      </c>
      <c r="N137" s="6" t="inlineStr">
        <is>
          <t>You run the current 3 shifts and the tariff gets reviewed in 3 months.</t>
        </is>
      </c>
      <c r="O137" s="4" t="n"/>
    </row>
    <row r="138" ht="40.5" customHeight="1">
      <c r="A138" s="6" t="inlineStr">
        <is>
          <t>m09e</t>
        </is>
      </c>
      <c r="B138" s="6" t="inlineStr">
        <is>
          <t>Cualquiera</t>
        </is>
      </c>
      <c r="C138" s="6" t="inlineStr">
        <is>
          <t>ENTORNO</t>
        </is>
      </c>
      <c r="D138" s="6" t="inlineStr">
        <is>
          <t>Vienen elecciones y 4 clientes frenan pedidos por la incertidumbre.</t>
        </is>
      </c>
      <c r="E138" s="6" t="inlineStr">
        <is>
          <t>Contrato puente</t>
        </is>
      </c>
      <c r="F138" s="6" t="inlineStr">
        <is>
          <t>Firmas contratos de 6 meses a precio fijo, con opción de ampliar a 12.</t>
        </is>
      </c>
      <c r="G138" s="6" t="inlineStr">
        <is>
          <t>Ventas</t>
        </is>
      </c>
      <c r="H138" s="6" t="inlineStr">
        <is>
          <t>Equilibrada</t>
        </is>
      </c>
      <c r="I138" s="4" t="n"/>
      <c r="J138" s="4" t="n"/>
      <c r="K138" s="4" t="n"/>
      <c r="L138" s="6" t="inlineStr">
        <is>
          <t>Elections are coming and 4 clients hold back orders amid the uncertainty.</t>
        </is>
      </c>
      <c r="M138" s="6" t="inlineStr">
        <is>
          <t>Bridge contract</t>
        </is>
      </c>
      <c r="N138" s="6" t="inlineStr">
        <is>
          <t>You offer 6-month contracts at a fixed price, with an option to extend to 12.</t>
        </is>
      </c>
      <c r="O138" s="4" t="n"/>
    </row>
    <row r="139" ht="40.5" customHeight="1">
      <c r="A139" s="6" t="inlineStr">
        <is>
          <t>m09e</t>
        </is>
      </c>
      <c r="B139" s="6" t="inlineStr">
        <is>
          <t>Cualquiera</t>
        </is>
      </c>
      <c r="C139" s="6" t="inlineStr">
        <is>
          <t>ENTORNO</t>
        </is>
      </c>
      <c r="D139" s="6" t="inlineStr">
        <is>
          <t>Vienen elecciones y 4 clientes frenan pedidos por la incertidumbre.</t>
        </is>
      </c>
      <c r="E139" s="6" t="inlineStr">
        <is>
          <t>Premio por firmar</t>
        </is>
      </c>
      <c r="F139" s="6" t="inlineStr">
        <is>
          <t>Rebajas 8% a los 4 clientes que firmen este mes, aunque ya pensaban comprar.</t>
        </is>
      </c>
      <c r="G139" s="6" t="inlineStr">
        <is>
          <t>Ventas</t>
        </is>
      </c>
      <c r="H139" s="6" t="inlineStr">
        <is>
          <t>Atajo</t>
        </is>
      </c>
      <c r="I139" s="4" t="n"/>
      <c r="J139" s="4" t="n"/>
      <c r="K139" s="4" t="n"/>
      <c r="L139" s="6" t="inlineStr">
        <is>
          <t>Elections are coming and 4 clients hold back orders amid the uncertainty.</t>
        </is>
      </c>
      <c r="M139" s="6" t="inlineStr">
        <is>
          <t>Prize for signing</t>
        </is>
      </c>
      <c r="N139" s="6" t="inlineStr">
        <is>
          <t>You cut 8% for the 4 clients who sign in 30 days, though they planned to buy.</t>
        </is>
      </c>
      <c r="O139" s="4" t="n"/>
    </row>
    <row r="140" ht="40.5" customHeight="1">
      <c r="A140" s="6" t="inlineStr">
        <is>
          <t>m09e</t>
        </is>
      </c>
      <c r="B140" s="6" t="inlineStr">
        <is>
          <t>Cualquiera</t>
        </is>
      </c>
      <c r="C140" s="6" t="inlineStr">
        <is>
          <t>ENTORNO</t>
        </is>
      </c>
      <c r="D140" s="6" t="inlineStr">
        <is>
          <t>Vienen elecciones y 4 clientes frenan pedidos por la incertidumbre.</t>
        </is>
      </c>
      <c r="E140" s="6" t="inlineStr">
        <is>
          <t>Ir a su ritmo</t>
        </is>
      </c>
      <c r="F140" s="6" t="inlineStr">
        <is>
          <t>Adoptas el calendario que fije cada cliente y reprogramas la planta entera.</t>
        </is>
      </c>
      <c r="G140" s="6" t="inlineStr">
        <is>
          <t>Ventas</t>
        </is>
      </c>
      <c r="H140" s="6" t="inlineStr">
        <is>
          <t>Ceder</t>
        </is>
      </c>
      <c r="I140" s="4" t="n"/>
      <c r="J140" s="4" t="n"/>
      <c r="K140" s="4" t="n"/>
      <c r="L140" s="6" t="inlineStr">
        <is>
          <t>Elections are coming and 4 clients hold back orders amid the uncertainty.</t>
        </is>
      </c>
      <c r="M140" s="6" t="inlineStr">
        <is>
          <t>Go at their pace</t>
        </is>
      </c>
      <c r="N140" s="6" t="inlineStr">
        <is>
          <t>You adopt whatever calendar each client sets and reschedule the whole plant.</t>
        </is>
      </c>
      <c r="O140" s="4" t="n"/>
    </row>
    <row r="141" ht="40.5" customHeight="1">
      <c r="A141" s="6" t="inlineStr">
        <is>
          <t>m09e</t>
        </is>
      </c>
      <c r="B141" s="6" t="inlineStr">
        <is>
          <t>Cualquiera</t>
        </is>
      </c>
      <c r="C141" s="6" t="inlineStr">
        <is>
          <t>ENTORNO</t>
        </is>
      </c>
      <c r="D141" s="6" t="inlineStr">
        <is>
          <t>Vienen elecciones y 4 clientes frenan pedidos por la incertidumbre.</t>
        </is>
      </c>
      <c r="E141" s="6" t="inlineStr">
        <is>
          <t>Pausa de campaña</t>
        </is>
      </c>
      <c r="F141" s="6" t="inlineStr">
        <is>
          <t>Pausas las ofertas durante la campaña y las retomas después de la elección.</t>
        </is>
      </c>
      <c r="G141" s="6" t="inlineStr">
        <is>
          <t>Ventas</t>
        </is>
      </c>
      <c r="H141" s="6" t="inlineStr">
        <is>
          <t>Pasiva</t>
        </is>
      </c>
      <c r="I141" s="4" t="n"/>
      <c r="J141" s="4" t="n"/>
      <c r="K141" s="4" t="n"/>
      <c r="L141" s="6" t="inlineStr">
        <is>
          <t>Elections are coming and 4 clients hold back orders amid the uncertainty.</t>
        </is>
      </c>
      <c r="M141" s="6" t="inlineStr">
        <is>
          <t>Campaign pause</t>
        </is>
      </c>
      <c r="N141" s="6" t="inlineStr">
        <is>
          <t>You pause offers during the campaign and resume them after the election.</t>
        </is>
      </c>
      <c r="O141" s="4" t="n"/>
    </row>
    <row r="142" ht="40.5" customHeight="1">
      <c r="A142" s="6" t="inlineStr">
        <is>
          <t>m09s</t>
        </is>
      </c>
      <c r="B142" s="6" t="inlineStr">
        <is>
          <t>Cualquiera</t>
        </is>
      </c>
      <c r="C142" s="6" t="inlineStr">
        <is>
          <t>ESTRATEGIA</t>
        </is>
      </c>
      <c r="D142" s="6" t="inlineStr">
        <is>
          <t>Tu proveedor clave (32% del costo) ofrece 6% menos por 3 años de contrato.</t>
        </is>
      </c>
      <c r="E142" s="6" t="inlineStr">
        <is>
          <t>Contrato con salida</t>
        </is>
      </c>
      <c r="F142" s="6" t="inlineStr">
        <is>
          <t>Firmas 36 meses con una cláusula de salida al mes 18 y precio indexado.</t>
        </is>
      </c>
      <c r="G142" s="6" t="inlineStr">
        <is>
          <t>Costo</t>
        </is>
      </c>
      <c r="H142" s="6" t="inlineStr">
        <is>
          <t>Equilibrada</t>
        </is>
      </c>
      <c r="I142" s="4" t="n"/>
      <c r="J142" s="4" t="n"/>
      <c r="K142" s="4" t="n"/>
      <c r="L142" s="6" t="inlineStr">
        <is>
          <t>Your key supplier (32% of cost) offers 6% less for a 3-year contract.</t>
        </is>
      </c>
      <c r="M142" s="6" t="inlineStr">
        <is>
          <t>Contract with exit</t>
        </is>
      </c>
      <c r="N142" s="6" t="inlineStr">
        <is>
          <t>You sign 36 months with an exit clause at month 18 and an indexed price.</t>
        </is>
      </c>
      <c r="O142" s="4" t="n"/>
    </row>
    <row r="143" ht="40.5" customHeight="1">
      <c r="A143" s="6" t="inlineStr">
        <is>
          <t>m09s</t>
        </is>
      </c>
      <c r="B143" s="6" t="inlineStr">
        <is>
          <t>Cualquiera</t>
        </is>
      </c>
      <c r="C143" s="6" t="inlineStr">
        <is>
          <t>ESTRATEGIA</t>
        </is>
      </c>
      <c r="D143" s="6" t="inlineStr">
        <is>
          <t>Tu proveedor clave (32% del costo) ofrece 6% menos por 3 años de contrato.</t>
        </is>
      </c>
      <c r="E143" s="6" t="inlineStr">
        <is>
          <t>Exclusividad total</t>
        </is>
      </c>
      <c r="F143" s="6" t="inlineStr">
        <is>
          <t>Aceptas 5 años de exclusividad y consigues 9% menos de inmediato.</t>
        </is>
      </c>
      <c r="G143" s="6" t="inlineStr">
        <is>
          <t>Costo</t>
        </is>
      </c>
      <c r="H143" s="6" t="inlineStr">
        <is>
          <t>Atajo</t>
        </is>
      </c>
      <c r="I143" s="4" t="n"/>
      <c r="J143" s="4" t="n"/>
      <c r="K143" s="4" t="n"/>
      <c r="L143" s="6" t="inlineStr">
        <is>
          <t>Your key supplier (32% of cost) offers 6% less for a 3-year contract.</t>
        </is>
      </c>
      <c r="M143" s="6" t="inlineStr">
        <is>
          <t>Total exclusivity</t>
        </is>
      </c>
      <c r="N143" s="6" t="inlineStr">
        <is>
          <t>You accept 5 years of exclusivity and get 9% less right away.</t>
        </is>
      </c>
      <c r="O143" s="4" t="n"/>
    </row>
    <row r="144" ht="40.5" customHeight="1">
      <c r="A144" s="6" t="inlineStr">
        <is>
          <t>m09s</t>
        </is>
      </c>
      <c r="B144" s="6" t="inlineStr">
        <is>
          <t>Cualquiera</t>
        </is>
      </c>
      <c r="C144" s="6" t="inlineStr">
        <is>
          <t>ESTRATEGIA</t>
        </is>
      </c>
      <c r="D144" s="6" t="inlineStr">
        <is>
          <t>Tu proveedor clave (32% del costo) ofrece 6% menos por 3 años de contrato.</t>
        </is>
      </c>
      <c r="E144" s="6" t="inlineStr">
        <is>
          <t>Firmar sin cambios</t>
        </is>
      </c>
      <c r="F144" s="6" t="inlineStr">
        <is>
          <t>Apruebas el texto del proveedor tal como llegó, con alzas anuales.</t>
        </is>
      </c>
      <c r="G144" s="6" t="inlineStr">
        <is>
          <t>Costo</t>
        </is>
      </c>
      <c r="H144" s="6" t="inlineStr">
        <is>
          <t>Ceder</t>
        </is>
      </c>
      <c r="I144" s="4" t="n"/>
      <c r="J144" s="4" t="n"/>
      <c r="K144" s="4" t="n"/>
      <c r="L144" s="6" t="inlineStr">
        <is>
          <t>Your key supplier (32% of cost) offers 6% less for a 3-year contract.</t>
        </is>
      </c>
      <c r="M144" s="6" t="inlineStr">
        <is>
          <t>Sign unchanged</t>
        </is>
      </c>
      <c r="N144" s="6" t="inlineStr">
        <is>
          <t>You approve the supplier text as it came, with yearly price hikes.</t>
        </is>
      </c>
      <c r="O144" s="4" t="n"/>
    </row>
    <row r="145" ht="40.5" customHeight="1">
      <c r="A145" s="6" t="inlineStr">
        <is>
          <t>m09s</t>
        </is>
      </c>
      <c r="B145" s="6" t="inlineStr">
        <is>
          <t>Cualquiera</t>
        </is>
      </c>
      <c r="C145" s="6" t="inlineStr">
        <is>
          <t>ESTRATEGIA</t>
        </is>
      </c>
      <c r="D145" s="6" t="inlineStr">
        <is>
          <t>Tu proveedor clave (32% del costo) ofrece 6% menos por 3 años de contrato.</t>
        </is>
      </c>
      <c r="E145" s="6" t="inlineStr">
        <is>
          <t>Dejarlo caducar</t>
        </is>
      </c>
      <c r="F145" s="6" t="inlineStr">
        <is>
          <t>Sigues comprando a precio de lista y la oferta caduca en 30 días.</t>
        </is>
      </c>
      <c r="G145" s="6" t="inlineStr">
        <is>
          <t>Costo</t>
        </is>
      </c>
      <c r="H145" s="6" t="inlineStr">
        <is>
          <t>Pasiva</t>
        </is>
      </c>
      <c r="I145" s="4" t="n"/>
      <c r="J145" s="4" t="n"/>
      <c r="K145" s="4" t="n"/>
      <c r="L145" s="6" t="inlineStr">
        <is>
          <t>Your key supplier (32% of cost) offers 6% less for a 3-year contract.</t>
        </is>
      </c>
      <c r="M145" s="6" t="inlineStr">
        <is>
          <t>Offer lapses</t>
        </is>
      </c>
      <c r="N145" s="6" t="inlineStr">
        <is>
          <t>You keep buying at list price and the offer lapses in 30 days.</t>
        </is>
      </c>
      <c r="O145" s="4" t="n"/>
    </row>
    <row r="146" ht="27" customHeight="1">
      <c r="A146" s="6" t="inlineStr">
        <is>
          <t>m10c</t>
        </is>
      </c>
      <c r="B146" s="6" t="inlineStr">
        <is>
          <t>Cualquiera</t>
        </is>
      </c>
      <c r="C146" s="6" t="inlineStr">
        <is>
          <t>CLIENTE</t>
        </is>
      </c>
      <c r="D146" s="6" t="inlineStr">
        <is>
          <t>Un cliente pide 3 dosificadores en comodato para sus faenas nuevas.</t>
        </is>
      </c>
      <c r="E146" s="6" t="inlineStr">
        <is>
          <t>Comodato con mínimo</t>
        </is>
      </c>
      <c r="F146" s="6" t="inlineStr">
        <is>
          <t>Entregas los equipos si compra un mínimo anual y paga el mantenimiento.</t>
        </is>
      </c>
      <c r="G146" s="6" t="inlineStr">
        <is>
          <t>Direct Chg</t>
        </is>
      </c>
      <c r="H146" s="6" t="inlineStr">
        <is>
          <t>Equilibrada</t>
        </is>
      </c>
      <c r="I146" s="4" t="n"/>
      <c r="J146" s="4" t="n"/>
      <c r="K146" s="4" t="n"/>
      <c r="L146" s="6" t="inlineStr">
        <is>
          <t>A client asks for 3 dosing units on loan for its new sites.</t>
        </is>
      </c>
      <c r="M146" s="6" t="inlineStr">
        <is>
          <t>Loan on conditions</t>
        </is>
      </c>
      <c r="N146" s="6" t="inlineStr">
        <is>
          <t>You lend the units if it commits to yearly purchases and pays the upkeep.</t>
        </is>
      </c>
      <c r="O146" s="4" t="n"/>
    </row>
    <row r="147" ht="27" customHeight="1">
      <c r="A147" s="6" t="inlineStr">
        <is>
          <t>m10c</t>
        </is>
      </c>
      <c r="B147" s="6" t="inlineStr">
        <is>
          <t>Cualquiera</t>
        </is>
      </c>
      <c r="C147" s="6" t="inlineStr">
        <is>
          <t>CLIENTE</t>
        </is>
      </c>
      <c r="D147" s="6" t="inlineStr">
        <is>
          <t>Un cliente pide 3 dosificadores en comodato para sus faenas nuevas.</t>
        </is>
      </c>
      <c r="E147" s="6" t="inlineStr">
        <is>
          <t>Subir el precio</t>
        </is>
      </c>
      <c r="F147" s="6" t="inlineStr">
        <is>
          <t>Recargas 3% al precio de los insumos y costeas los equipos con eso.</t>
        </is>
      </c>
      <c r="G147" s="6" t="inlineStr">
        <is>
          <t>Ventas</t>
        </is>
      </c>
      <c r="H147" s="6" t="inlineStr">
        <is>
          <t>Atajo</t>
        </is>
      </c>
      <c r="I147" s="4" t="n"/>
      <c r="J147" s="4" t="n"/>
      <c r="K147" s="4" t="n"/>
      <c r="L147" s="6" t="inlineStr">
        <is>
          <t>A client asks for 3 dosing units on loan for its new sites.</t>
        </is>
      </c>
      <c r="M147" s="6" t="inlineStr">
        <is>
          <t>Add to the price</t>
        </is>
      </c>
      <c r="N147" s="6" t="inlineStr">
        <is>
          <t>You add 3% to the price of supplies and fund the units with that.</t>
        </is>
      </c>
      <c r="O147" s="4" t="n"/>
    </row>
    <row r="148" ht="27" customHeight="1">
      <c r="A148" s="6" t="inlineStr">
        <is>
          <t>m10c</t>
        </is>
      </c>
      <c r="B148" s="6" t="inlineStr">
        <is>
          <t>Cualquiera</t>
        </is>
      </c>
      <c r="C148" s="6" t="inlineStr">
        <is>
          <t>CLIENTE</t>
        </is>
      </c>
      <c r="D148" s="6" t="inlineStr">
        <is>
          <t>Un cliente pide 3 dosificadores en comodato para sus faenas nuevas.</t>
        </is>
      </c>
      <c r="E148" s="6" t="inlineStr">
        <is>
          <t>Entregar sin trabas</t>
        </is>
      </c>
      <c r="F148" s="6" t="inlineStr">
        <is>
          <t>Entregas los 3 equipos y asumes la mantención, aunque compre poco.</t>
        </is>
      </c>
      <c r="G148" s="6" t="inlineStr">
        <is>
          <t>Direct Chg</t>
        </is>
      </c>
      <c r="H148" s="6" t="inlineStr">
        <is>
          <t>Ceder</t>
        </is>
      </c>
      <c r="I148" s="4" t="n"/>
      <c r="J148" s="4" t="n"/>
      <c r="K148" s="4" t="n"/>
      <c r="L148" s="6" t="inlineStr">
        <is>
          <t>A client asks for 3 dosing units on loan for its new sites.</t>
        </is>
      </c>
      <c r="M148" s="6" t="inlineStr">
        <is>
          <t>Hand over freely</t>
        </is>
      </c>
      <c r="N148" s="6" t="inlineStr">
        <is>
          <t>You hand over the 3 units and cover upkeep even if it buys little.</t>
        </is>
      </c>
      <c r="O148" s="4" t="n"/>
    </row>
    <row r="149" ht="27" customHeight="1">
      <c r="A149" s="6" t="inlineStr">
        <is>
          <t>m10c</t>
        </is>
      </c>
      <c r="B149" s="6" t="inlineStr">
        <is>
          <t>Cualquiera</t>
        </is>
      </c>
      <c r="C149" s="6" t="inlineStr">
        <is>
          <t>CLIENTE</t>
        </is>
      </c>
      <c r="D149" s="6" t="inlineStr">
        <is>
          <t>Un cliente pide 3 dosificadores en comodato para sus faenas nuevas.</t>
        </is>
      </c>
      <c r="E149" s="6" t="inlineStr">
        <is>
          <t>Que los compre</t>
        </is>
      </c>
      <c r="F149" s="6" t="inlineStr">
        <is>
          <t>Explicas que el comodato no existe y que compre sus propios equipos.</t>
        </is>
      </c>
      <c r="G149" s="6" t="inlineStr">
        <is>
          <t>Ventas</t>
        </is>
      </c>
      <c r="H149" s="6" t="inlineStr">
        <is>
          <t>Pasiva</t>
        </is>
      </c>
      <c r="I149" s="4" t="n"/>
      <c r="J149" s="4" t="n"/>
      <c r="K149" s="4" t="n"/>
      <c r="L149" s="6" t="inlineStr">
        <is>
          <t>A client asks for 3 dosing units on loan for its new sites.</t>
        </is>
      </c>
      <c r="M149" s="6" t="inlineStr">
        <is>
          <t>Buy their own</t>
        </is>
      </c>
      <c r="N149" s="6" t="inlineStr">
        <is>
          <t>You explain that loans do not exist and that it should buy its own units.</t>
        </is>
      </c>
      <c r="O149" s="4" t="n"/>
    </row>
    <row r="150" ht="40.5" customHeight="1">
      <c r="A150" s="6" t="inlineStr">
        <is>
          <t>m10p</t>
        </is>
      </c>
      <c r="B150" s="6" t="inlineStr">
        <is>
          <t>8 a 12</t>
        </is>
      </c>
      <c r="C150" s="6" t="inlineStr">
        <is>
          <t>PLANTA</t>
        </is>
      </c>
      <c r="D150" s="6" t="inlineStr">
        <is>
          <t>El sindicato anuncia 2 días de paro parcial si no hay bono de fin de año.</t>
        </is>
      </c>
      <c r="E150" s="6" t="inlineStr">
        <is>
          <t>Bono por metas</t>
        </is>
      </c>
      <c r="F150" s="6" t="inlineStr">
        <is>
          <t>Pagas un bono variable ligado a metas de planta y seguridad, en 2 cuotas.</t>
        </is>
      </c>
      <c r="G150" s="6" t="inlineStr">
        <is>
          <t>Costo</t>
        </is>
      </c>
      <c r="H150" s="6" t="inlineStr">
        <is>
          <t>Equilibrada</t>
        </is>
      </c>
      <c r="I150" s="4" t="n"/>
      <c r="J150" s="4" t="n"/>
      <c r="K150" s="4" t="n"/>
      <c r="L150" s="6" t="inlineStr">
        <is>
          <t>The union announces a 2-day partial strike if there is no year-end bonus.</t>
        </is>
      </c>
      <c r="M150" s="6" t="inlineStr">
        <is>
          <t>Goal bonus</t>
        </is>
      </c>
      <c r="N150" s="6" t="inlineStr">
        <is>
          <t>You link a variable bonus to plant and safety goals, in 2 installments.</t>
        </is>
      </c>
      <c r="O150" s="4" t="n"/>
    </row>
    <row r="151" ht="40.5" customHeight="1">
      <c r="A151" s="6" t="inlineStr">
        <is>
          <t>m10p</t>
        </is>
      </c>
      <c r="B151" s="6" t="inlineStr">
        <is>
          <t>8 a 12</t>
        </is>
      </c>
      <c r="C151" s="6" t="inlineStr">
        <is>
          <t>PLANTA</t>
        </is>
      </c>
      <c r="D151" s="6" t="inlineStr">
        <is>
          <t>El sindicato anuncia 2 días de paro parcial si no hay bono de fin de año.</t>
        </is>
      </c>
      <c r="E151" s="6" t="inlineStr">
        <is>
          <t>Cubrir con extras</t>
        </is>
      </c>
      <c r="F151" s="6" t="inlineStr">
        <is>
          <t>Cubres los 2 días con supervisores y evitas hablar con el sindicato.</t>
        </is>
      </c>
      <c r="G151" s="6" t="inlineStr">
        <is>
          <t>Costo</t>
        </is>
      </c>
      <c r="H151" s="6" t="inlineStr">
        <is>
          <t>Atajo</t>
        </is>
      </c>
      <c r="I151" s="4" t="n"/>
      <c r="J151" s="4" t="n"/>
      <c r="K151" s="4" t="n"/>
      <c r="L151" s="6" t="inlineStr">
        <is>
          <t>The union announces a 2-day partial strike if there is no year-end bonus.</t>
        </is>
      </c>
      <c r="M151" s="6" t="inlineStr">
        <is>
          <t>Cover with overtime</t>
        </is>
      </c>
      <c r="N151" s="6" t="inlineStr">
        <is>
          <t>You cover the 2 days with supervisors and avoid talking to the union.</t>
        </is>
      </c>
      <c r="O151" s="4" t="n"/>
    </row>
    <row r="152" ht="40.5" customHeight="1">
      <c r="A152" s="6" t="inlineStr">
        <is>
          <t>m10p</t>
        </is>
      </c>
      <c r="B152" s="6" t="inlineStr">
        <is>
          <t>8 a 12</t>
        </is>
      </c>
      <c r="C152" s="6" t="inlineStr">
        <is>
          <t>PLANTA</t>
        </is>
      </c>
      <c r="D152" s="6" t="inlineStr">
        <is>
          <t>El sindicato anuncia 2 días de paro parcial si no hay bono de fin de año.</t>
        </is>
      </c>
      <c r="E152" s="6" t="inlineStr">
        <is>
          <t>Pagar el bono</t>
        </is>
      </c>
      <c r="F152" s="6" t="inlineStr">
        <is>
          <t>Pagas el bono fijo que exigen y evitas el paro, aunque salga caro cada año.</t>
        </is>
      </c>
      <c r="G152" s="6" t="inlineStr">
        <is>
          <t>Costo</t>
        </is>
      </c>
      <c r="H152" s="6" t="inlineStr">
        <is>
          <t>Ceder</t>
        </is>
      </c>
      <c r="I152" s="4" t="n"/>
      <c r="J152" s="4" t="n"/>
      <c r="K152" s="4" t="n"/>
      <c r="L152" s="6" t="inlineStr">
        <is>
          <t>The union announces a 2-day partial strike if there is no year-end bonus.</t>
        </is>
      </c>
      <c r="M152" s="6" t="inlineStr">
        <is>
          <t>Meet the demand</t>
        </is>
      </c>
      <c r="N152" s="6" t="inlineStr">
        <is>
          <t>You give in on the fixed bonus they demand and avoid a costly strike.</t>
        </is>
      </c>
      <c r="O152" s="4" t="n"/>
    </row>
    <row r="153" ht="40.5" customHeight="1">
      <c r="A153" s="6" t="inlineStr">
        <is>
          <t>m10p</t>
        </is>
      </c>
      <c r="B153" s="6" t="inlineStr">
        <is>
          <t>8 a 12</t>
        </is>
      </c>
      <c r="C153" s="6" t="inlineStr">
        <is>
          <t>PLANTA</t>
        </is>
      </c>
      <c r="D153" s="6" t="inlineStr">
        <is>
          <t>El sindicato anuncia 2 días de paro parcial si no hay bono de fin de año.</t>
        </is>
      </c>
      <c r="E153" s="6" t="inlineStr">
        <is>
          <t>Dejar que avance</t>
        </is>
      </c>
      <c r="F153" s="6" t="inlineStr">
        <is>
          <t>Ignoras el anuncio y ves si el paro sigue adelante o se diluye.</t>
        </is>
      </c>
      <c r="G153" s="6" t="inlineStr">
        <is>
          <t>Ventas</t>
        </is>
      </c>
      <c r="H153" s="6" t="inlineStr">
        <is>
          <t>Pasiva</t>
        </is>
      </c>
      <c r="I153" s="4" t="n"/>
      <c r="J153" s="4" t="n"/>
      <c r="K153" s="4" t="n"/>
      <c r="L153" s="6" t="inlineStr">
        <is>
          <t>The union announces a 2-day partial strike if there is no year-end bonus.</t>
        </is>
      </c>
      <c r="M153" s="6" t="inlineStr">
        <is>
          <t>Ignore the notice</t>
        </is>
      </c>
      <c r="N153" s="6" t="inlineStr">
        <is>
          <t>You brush off the announcement and see if the strike goes ahead or fades.</t>
        </is>
      </c>
      <c r="O153" s="4" t="n"/>
    </row>
    <row r="154" ht="40.5" customHeight="1">
      <c r="A154" s="6" t="inlineStr">
        <is>
          <t>m10e</t>
        </is>
      </c>
      <c r="B154" s="6" t="inlineStr">
        <is>
          <t>Cualquiera</t>
        </is>
      </c>
      <c r="C154" s="6" t="inlineStr">
        <is>
          <t>ENTORNO</t>
        </is>
      </c>
      <c r="D154" s="6" t="inlineStr">
        <is>
          <t>Una sequía recorta 20% el agua de tu planta y no cubre todos los pedidos.</t>
        </is>
      </c>
      <c r="E154" s="6" t="inlineStr">
        <is>
          <t>Pedidos rentables</t>
        </is>
      </c>
      <c r="F154" s="6" t="inlineStr">
        <is>
          <t>Asignas el volumen a los pedidos que más rinden y avisas al resto.</t>
        </is>
      </c>
      <c r="G154" s="6" t="inlineStr">
        <is>
          <t>Ventas</t>
        </is>
      </c>
      <c r="H154" s="6" t="inlineStr">
        <is>
          <t>Equilibrada</t>
        </is>
      </c>
      <c r="I154" s="4" t="n"/>
      <c r="J154" s="4" t="n"/>
      <c r="K154" s="4" t="n"/>
      <c r="L154" s="6" t="inlineStr">
        <is>
          <t>A drought cuts your plant's water 20% and orders cannot all be covered.</t>
        </is>
      </c>
      <c r="M154" s="6" t="inlineStr">
        <is>
          <t>Profitable orders</t>
        </is>
      </c>
      <c r="N154" s="6" t="inlineStr">
        <is>
          <t>You allocate output to the orders that pay best and tell the others.</t>
        </is>
      </c>
      <c r="O154" s="4" t="n"/>
    </row>
    <row r="155" ht="40.5" customHeight="1">
      <c r="A155" s="6" t="inlineStr">
        <is>
          <t>m10e</t>
        </is>
      </c>
      <c r="B155" s="6" t="inlineStr">
        <is>
          <t>Cualquiera</t>
        </is>
      </c>
      <c r="C155" s="6" t="inlineStr">
        <is>
          <t>ENTORNO</t>
        </is>
      </c>
      <c r="D155" s="6" t="inlineStr">
        <is>
          <t>Una sequía recorta 20% el agua de tu planta y no cubre todos los pedidos.</t>
        </is>
      </c>
      <c r="E155" s="6" t="inlineStr">
        <is>
          <t>Recargo por escasez</t>
        </is>
      </c>
      <c r="F155" s="6" t="inlineStr">
        <is>
          <t>Impones un recargo de 10% por escasez, incluso a pedidos ya cotizados.</t>
        </is>
      </c>
      <c r="G155" s="6" t="inlineStr">
        <is>
          <t>Ventas</t>
        </is>
      </c>
      <c r="H155" s="6" t="inlineStr">
        <is>
          <t>Atajo</t>
        </is>
      </c>
      <c r="I155" s="4" t="n"/>
      <c r="J155" s="4" t="n"/>
      <c r="K155" s="4" t="n"/>
      <c r="L155" s="6" t="inlineStr">
        <is>
          <t>A drought cuts your plant's water 20% and orders cannot all be covered.</t>
        </is>
      </c>
      <c r="M155" s="6" t="inlineStr">
        <is>
          <t>Scarcity surcharge</t>
        </is>
      </c>
      <c r="N155" s="6" t="inlineStr">
        <is>
          <t>You impose a 10% scarcity surcharge, even on orders already quoted.</t>
        </is>
      </c>
      <c r="O155" s="4" t="n"/>
    </row>
    <row r="156" ht="40.5" customHeight="1">
      <c r="A156" s="6" t="inlineStr">
        <is>
          <t>m10e</t>
        </is>
      </c>
      <c r="B156" s="6" t="inlineStr">
        <is>
          <t>Cualquiera</t>
        </is>
      </c>
      <c r="C156" s="6" t="inlineStr">
        <is>
          <t>ENTORNO</t>
        </is>
      </c>
      <c r="D156" s="6" t="inlineStr">
        <is>
          <t>Una sequía recorta 20% el agua de tu planta y no cubre todos los pedidos.</t>
        </is>
      </c>
      <c r="E156" s="6" t="inlineStr">
        <is>
          <t>Camiones aljibe</t>
        </is>
      </c>
      <c r="F156" s="6" t="inlineStr">
        <is>
          <t>Contratas camiones aljibe para abastecer a todos, cueste lo que cueste.</t>
        </is>
      </c>
      <c r="G156" s="6" t="inlineStr">
        <is>
          <t>Costo</t>
        </is>
      </c>
      <c r="H156" s="6" t="inlineStr">
        <is>
          <t>Ceder</t>
        </is>
      </c>
      <c r="I156" s="4" t="n"/>
      <c r="J156" s="4" t="n"/>
      <c r="K156" s="4" t="n"/>
      <c r="L156" s="6" t="inlineStr">
        <is>
          <t>A drought cuts your plant's water 20% and orders cannot all be covered.</t>
        </is>
      </c>
      <c r="M156" s="6" t="inlineStr">
        <is>
          <t>Water trucks</t>
        </is>
      </c>
      <c r="N156" s="6" t="inlineStr">
        <is>
          <t>You hire water tankers to supply everyone, whatever it costs.</t>
        </is>
      </c>
      <c r="O156" s="4" t="n"/>
    </row>
    <row r="157" ht="40.5" customHeight="1">
      <c r="A157" s="6" t="inlineStr">
        <is>
          <t>m10e</t>
        </is>
      </c>
      <c r="B157" s="6" t="inlineStr">
        <is>
          <t>Cualquiera</t>
        </is>
      </c>
      <c r="C157" s="6" t="inlineStr">
        <is>
          <t>ENTORNO</t>
        </is>
      </c>
      <c r="D157" s="6" t="inlineStr">
        <is>
          <t>Una sequía recorta 20% el agua de tu planta y no cubre todos los pedidos.</t>
        </is>
      </c>
      <c r="E157" s="6" t="inlineStr">
        <is>
          <t>Orden de llegada</t>
        </is>
      </c>
      <c r="F157" s="6" t="inlineStr">
        <is>
          <t>Operas con el agua disponible y entregas los pedidos según lleguen.</t>
        </is>
      </c>
      <c r="G157" s="6" t="inlineStr">
        <is>
          <t>Ventas</t>
        </is>
      </c>
      <c r="H157" s="6" t="inlineStr">
        <is>
          <t>Pasiva</t>
        </is>
      </c>
      <c r="I157" s="4" t="n"/>
      <c r="J157" s="4" t="n"/>
      <c r="K157" s="4" t="n"/>
      <c r="L157" s="6" t="inlineStr">
        <is>
          <t>A drought cuts your plant's water 20% and orders cannot all be covered.</t>
        </is>
      </c>
      <c r="M157" s="6" t="inlineStr">
        <is>
          <t>Order of arrival</t>
        </is>
      </c>
      <c r="N157" s="6" t="inlineStr">
        <is>
          <t>You run on the water available and ship orders as they come in.</t>
        </is>
      </c>
      <c r="O157" s="4" t="n"/>
    </row>
    <row r="158" ht="40.5" customHeight="1">
      <c r="A158" s="6" t="inlineStr">
        <is>
          <t>m10s</t>
        </is>
      </c>
      <c r="B158" s="6" t="inlineStr">
        <is>
          <t>9 a 12</t>
        </is>
      </c>
      <c r="C158" s="6" t="inlineStr">
        <is>
          <t>ESTRATEGIA</t>
        </is>
      </c>
      <c r="D158" s="6" t="inlineStr">
        <is>
          <t>La feria anual cuesta 0,5 en stand y viajes, y 6 de tus clientes no irán.</t>
        </is>
      </c>
      <c r="E158" s="6" t="inlineStr">
        <is>
          <t>Ir con citas</t>
        </is>
      </c>
      <c r="F158" s="6" t="inlineStr">
        <is>
          <t>Vas con un stand pequeño y 15 citas ya agendadas con clientes.</t>
        </is>
      </c>
      <c r="G158" s="6" t="inlineStr">
        <is>
          <t>SG&amp;A</t>
        </is>
      </c>
      <c r="H158" s="6" t="inlineStr">
        <is>
          <t>Equilibrada</t>
        </is>
      </c>
      <c r="I158" s="4" t="n"/>
      <c r="J158" s="4" t="n"/>
      <c r="K158" s="4" t="n"/>
      <c r="L158" s="6" t="inlineStr">
        <is>
          <t>The annual fair costs 0.5 in booth and travel, and 6 of your clients skip it.</t>
        </is>
      </c>
      <c r="M158" s="6" t="inlineStr">
        <is>
          <t>Go with meetings</t>
        </is>
      </c>
      <c r="N158" s="6" t="inlineStr">
        <is>
          <t>You go with a small booth and 15 meetings already booked with clients.</t>
        </is>
      </c>
      <c r="O158" s="4" t="n"/>
    </row>
    <row r="159" ht="40.5" customHeight="1">
      <c r="A159" s="6" t="inlineStr">
        <is>
          <t>m10s</t>
        </is>
      </c>
      <c r="B159" s="6" t="inlineStr">
        <is>
          <t>9 a 12</t>
        </is>
      </c>
      <c r="C159" s="6" t="inlineStr">
        <is>
          <t>ESTRATEGIA</t>
        </is>
      </c>
      <c r="D159" s="6" t="inlineStr">
        <is>
          <t>La feria anual cuesta 0,5 en stand y viajes, y 6 de tus clientes no irán.</t>
        </is>
      </c>
      <c r="E159" s="6" t="inlineStr">
        <is>
          <t>Descuento de feria</t>
        </is>
      </c>
      <c r="F159" s="6" t="inlineStr">
        <is>
          <t>Das 5% a visitantes que firmen en feria, aunque ya compraban antes.</t>
        </is>
      </c>
      <c r="G159" s="6" t="inlineStr">
        <is>
          <t>Ventas</t>
        </is>
      </c>
      <c r="H159" s="6" t="inlineStr">
        <is>
          <t>Atajo</t>
        </is>
      </c>
      <c r="I159" s="4" t="n"/>
      <c r="J159" s="4" t="n"/>
      <c r="K159" s="4" t="n"/>
      <c r="L159" s="6" t="inlineStr">
        <is>
          <t>The annual fair costs 0.5 in booth and travel, and 6 of your clients skip it.</t>
        </is>
      </c>
      <c r="M159" s="6" t="inlineStr">
        <is>
          <t>Fair discount</t>
        </is>
      </c>
      <c r="N159" s="6" t="inlineStr">
        <is>
          <t>You give 5% to visitors who sign at the fair, though they already bought.</t>
        </is>
      </c>
      <c r="O159" s="4" t="n"/>
    </row>
    <row r="160" ht="40.5" customHeight="1">
      <c r="A160" s="6" t="inlineStr">
        <is>
          <t>m10s</t>
        </is>
      </c>
      <c r="B160" s="6" t="inlineStr">
        <is>
          <t>9 a 12</t>
        </is>
      </c>
      <c r="C160" s="6" t="inlineStr">
        <is>
          <t>ESTRATEGIA</t>
        </is>
      </c>
      <c r="D160" s="6" t="inlineStr">
        <is>
          <t>La feria anual cuesta 0,5 en stand y viajes, y 6 de tus clientes no irán.</t>
        </is>
      </c>
      <c r="E160" s="6" t="inlineStr">
        <is>
          <t>Stand grande</t>
        </is>
      </c>
      <c r="F160" s="6" t="inlineStr">
        <is>
          <t>Reservas el stand grande que pide Marketing para no quedar atrás.</t>
        </is>
      </c>
      <c r="G160" s="6" t="inlineStr">
        <is>
          <t>SG&amp;A</t>
        </is>
      </c>
      <c r="H160" s="6" t="inlineStr">
        <is>
          <t>Ceder</t>
        </is>
      </c>
      <c r="I160" s="4" t="n"/>
      <c r="J160" s="4" t="n"/>
      <c r="K160" s="4" t="n"/>
      <c r="L160" s="6" t="inlineStr">
        <is>
          <t>The annual fair costs 0.5 in booth and travel, and 6 of your clients skip it.</t>
        </is>
      </c>
      <c r="M160" s="6" t="inlineStr">
        <is>
          <t>Big booth</t>
        </is>
      </c>
      <c r="N160" s="6" t="inlineStr">
        <is>
          <t>You book the big booth that Marketing wants so as not to fall behind.</t>
        </is>
      </c>
      <c r="O160" s="4" t="n"/>
    </row>
    <row r="161" ht="40.5" customHeight="1">
      <c r="A161" s="6" t="inlineStr">
        <is>
          <t>m10s</t>
        </is>
      </c>
      <c r="B161" s="6" t="inlineStr">
        <is>
          <t>9 a 12</t>
        </is>
      </c>
      <c r="C161" s="6" t="inlineStr">
        <is>
          <t>ESTRATEGIA</t>
        </is>
      </c>
      <c r="D161" s="6" t="inlineStr">
        <is>
          <t>La feria anual cuesta 0,5 en stand y viajes, y 6 de tus clientes no irán.</t>
        </is>
      </c>
      <c r="E161" s="6" t="inlineStr">
        <is>
          <t>Repetir el stand</t>
        </is>
      </c>
      <c r="F161" s="6" t="inlineStr">
        <is>
          <t>Repites el stand del año pasado, con el mismo equipo y presupuesto.</t>
        </is>
      </c>
      <c r="G161" s="6" t="inlineStr">
        <is>
          <t>SG&amp;A</t>
        </is>
      </c>
      <c r="H161" s="6" t="inlineStr">
        <is>
          <t>Pasiva</t>
        </is>
      </c>
      <c r="I161" s="4" t="n"/>
      <c r="J161" s="4" t="n"/>
      <c r="K161" s="4" t="n"/>
      <c r="L161" s="6" t="inlineStr">
        <is>
          <t>The annual fair costs 0.5 in booth and travel, and 6 of your clients skip it.</t>
        </is>
      </c>
      <c r="M161" s="6" t="inlineStr">
        <is>
          <t>Repeat the booth</t>
        </is>
      </c>
      <c r="N161" s="6" t="inlineStr">
        <is>
          <t>You repeat last year's booth, with the same team and budget.</t>
        </is>
      </c>
      <c r="O161" s="4" t="n"/>
    </row>
    <row r="162" ht="27" customHeight="1">
      <c r="A162" s="6" t="inlineStr">
        <is>
          <t>m11c</t>
        </is>
      </c>
      <c r="B162" s="6" t="inlineStr">
        <is>
          <t>Cualquiera</t>
        </is>
      </c>
      <c r="C162" s="6" t="inlineStr">
        <is>
          <t>CLIENTE</t>
        </is>
      </c>
      <c r="D162" s="6" t="inlineStr">
        <is>
          <t>Un cliente objeta 3% de cargos en 4 facturas, pero sigue comprando.</t>
        </is>
      </c>
      <c r="E162" s="6" t="inlineStr">
        <is>
          <t>Revisar cada cargo</t>
        </is>
      </c>
      <c r="F162" s="6" t="inlineStr">
        <is>
          <t>Revisas las 4 facturas con el cliente y arreglas lo que esté mal.</t>
        </is>
      </c>
      <c r="G162" s="6" t="inlineStr">
        <is>
          <t>Ventas</t>
        </is>
      </c>
      <c r="H162" s="6" t="inlineStr">
        <is>
          <t>Equilibrada</t>
        </is>
      </c>
      <c r="I162" s="4" t="n"/>
      <c r="J162" s="4" t="n"/>
      <c r="K162" s="4" t="n"/>
      <c r="L162" s="6" t="inlineStr">
        <is>
          <t>A client disputes 3% of charges on 4 invoices, but keeps buying.</t>
        </is>
      </c>
      <c r="M162" s="6" t="inlineStr">
        <is>
          <t>Check each charge</t>
        </is>
      </c>
      <c r="N162" s="6" t="inlineStr">
        <is>
          <t>You check the 4 invoices with the client and correct any error.</t>
        </is>
      </c>
      <c r="O162" s="4" t="n"/>
    </row>
    <row r="163" ht="27" customHeight="1">
      <c r="A163" s="6" t="inlineStr">
        <is>
          <t>m11c</t>
        </is>
      </c>
      <c r="B163" s="6" t="inlineStr">
        <is>
          <t>Cualquiera</t>
        </is>
      </c>
      <c r="C163" s="6" t="inlineStr">
        <is>
          <t>CLIENTE</t>
        </is>
      </c>
      <c r="D163" s="6" t="inlineStr">
        <is>
          <t>Un cliente objeta 3% de cargos en 4 facturas, pero sigue comprando.</t>
        </is>
      </c>
      <c r="E163" s="6" t="inlineStr">
        <is>
          <t>Cargos al precio</t>
        </is>
      </c>
      <c r="F163" s="6" t="inlineStr">
        <is>
          <t>Prorrateas esos cargos dentro del precio de lista de las facturas siguientes.</t>
        </is>
      </c>
      <c r="G163" s="6" t="inlineStr">
        <is>
          <t>Ventas</t>
        </is>
      </c>
      <c r="H163" s="6" t="inlineStr">
        <is>
          <t>Atajo</t>
        </is>
      </c>
      <c r="I163" s="4" t="n"/>
      <c r="J163" s="4" t="n"/>
      <c r="K163" s="4" t="n"/>
      <c r="L163" s="6" t="inlineStr">
        <is>
          <t>A client disputes 3% of charges on 4 invoices, but keeps buying.</t>
        </is>
      </c>
      <c r="M163" s="6" t="inlineStr">
        <is>
          <t>Charges into price</t>
        </is>
      </c>
      <c r="N163" s="6" t="inlineStr">
        <is>
          <t>You spread those charges inside the list price of the next invoices.</t>
        </is>
      </c>
      <c r="O163" s="4" t="n"/>
    </row>
    <row r="164" ht="27" customHeight="1">
      <c r="A164" s="6" t="inlineStr">
        <is>
          <t>m11c</t>
        </is>
      </c>
      <c r="B164" s="6" t="inlineStr">
        <is>
          <t>Cualquiera</t>
        </is>
      </c>
      <c r="C164" s="6" t="inlineStr">
        <is>
          <t>CLIENTE</t>
        </is>
      </c>
      <c r="D164" s="6" t="inlineStr">
        <is>
          <t>Un cliente objeta 3% de cargos en 4 facturas, pero sigue comprando.</t>
        </is>
      </c>
      <c r="E164" s="6" t="inlineStr">
        <is>
          <t>Nota de crédito</t>
        </is>
      </c>
      <c r="F164" s="6" t="inlineStr">
        <is>
          <t>Emites notas de crédito por el 3% de las 4 facturas y cierras el tema.</t>
        </is>
      </c>
      <c r="G164" s="6" t="inlineStr">
        <is>
          <t>Incentivos</t>
        </is>
      </c>
      <c r="H164" s="6" t="inlineStr">
        <is>
          <t>Ceder</t>
        </is>
      </c>
      <c r="I164" s="4" t="n"/>
      <c r="J164" s="4" t="n"/>
      <c r="K164" s="4" t="n"/>
      <c r="L164" s="6" t="inlineStr">
        <is>
          <t>A client disputes 3% of charges on 4 invoices, but keeps buying.</t>
        </is>
      </c>
      <c r="M164" s="6" t="inlineStr">
        <is>
          <t>Credit note</t>
        </is>
      </c>
      <c r="N164" s="6" t="inlineStr">
        <is>
          <t>You issue credit notes for 3% of the 4 invoices and close the matter.</t>
        </is>
      </c>
      <c r="O164" s="4" t="n"/>
    </row>
    <row r="165" ht="27" customHeight="1">
      <c r="A165" s="6" t="inlineStr">
        <is>
          <t>m11c</t>
        </is>
      </c>
      <c r="B165" s="6" t="inlineStr">
        <is>
          <t>Cualquiera</t>
        </is>
      </c>
      <c r="C165" s="6" t="inlineStr">
        <is>
          <t>CLIENTE</t>
        </is>
      </c>
      <c r="D165" s="6" t="inlineStr">
        <is>
          <t>Un cliente objeta 3% de cargos en 4 facturas, pero sigue comprando.</t>
        </is>
      </c>
      <c r="E165" s="6" t="inlineStr">
        <is>
          <t>Dejar abierta</t>
        </is>
      </c>
      <c r="F165" s="6" t="inlineStr">
        <is>
          <t>Mantienes abierta la disputa y revisas los cargos si el cliente insiste.</t>
        </is>
      </c>
      <c r="G165" s="6" t="inlineStr">
        <is>
          <t>Ventas</t>
        </is>
      </c>
      <c r="H165" s="6" t="inlineStr">
        <is>
          <t>Pasiva</t>
        </is>
      </c>
      <c r="I165" s="4" t="n"/>
      <c r="J165" s="4" t="n"/>
      <c r="K165" s="4" t="n"/>
      <c r="L165" s="6" t="inlineStr">
        <is>
          <t>A client disputes 3% of charges on 4 invoices, but keeps buying.</t>
        </is>
      </c>
      <c r="M165" s="6" t="inlineStr">
        <is>
          <t>Leave it open</t>
        </is>
      </c>
      <c r="N165" s="6" t="inlineStr">
        <is>
          <t>You keep the dispute open and correct each charge only if the client insists.</t>
        </is>
      </c>
      <c r="O165" s="4" t="n"/>
    </row>
    <row r="166" ht="27" customHeight="1">
      <c r="A166" s="6" t="inlineStr">
        <is>
          <t>m11p</t>
        </is>
      </c>
      <c r="B166" s="6" t="inlineStr">
        <is>
          <t>11 a 12</t>
        </is>
      </c>
      <c r="C166" s="6" t="inlineStr">
        <is>
          <t>PLANTA</t>
        </is>
      </c>
      <c r="D166" s="6" t="inlineStr">
        <is>
          <t>Llega fin de año con 30% más de pedidos y gente que pide vacaciones.</t>
        </is>
      </c>
      <c r="E166" s="6" t="inlineStr">
        <is>
          <t>Turnos rotativos</t>
        </is>
      </c>
      <c r="F166" s="6" t="inlineStr">
        <is>
          <t>Rotas a la gente con permisos justos y un bono de 3% por cumplir.</t>
        </is>
      </c>
      <c r="G166" s="6" t="inlineStr">
        <is>
          <t>Costo</t>
        </is>
      </c>
      <c r="H166" s="6" t="inlineStr">
        <is>
          <t>Equilibrada</t>
        </is>
      </c>
      <c r="I166" s="4" t="n"/>
      <c r="J166" s="4" t="n"/>
      <c r="K166" s="4" t="n"/>
      <c r="L166" s="6" t="inlineStr">
        <is>
          <t>Year-end brings 30% more orders and people asking for vacation.</t>
        </is>
      </c>
      <c r="M166" s="6" t="inlineStr">
        <is>
          <t>Rotating shifts</t>
        </is>
      </c>
      <c r="N166" s="6" t="inlineStr">
        <is>
          <t>You rotate people with fair leave and a 3% bonus for hitting targets.</t>
        </is>
      </c>
      <c r="O166" s="4" t="n"/>
    </row>
    <row r="167" ht="27" customHeight="1">
      <c r="A167" s="6" t="inlineStr">
        <is>
          <t>m11p</t>
        </is>
      </c>
      <c r="B167" s="6" t="inlineStr">
        <is>
          <t>11 a 12</t>
        </is>
      </c>
      <c r="C167" s="6" t="inlineStr">
        <is>
          <t>PLANTA</t>
        </is>
      </c>
      <c r="D167" s="6" t="inlineStr">
        <is>
          <t>Llega fin de año con 30% más de pedidos y gente que pide vacaciones.</t>
        </is>
      </c>
      <c r="E167" s="6" t="inlineStr">
        <is>
          <t>Congelar permisos</t>
        </is>
      </c>
      <c r="F167" s="6" t="inlineStr">
        <is>
          <t>Congelas los permisos de diciembre y mantienes los 3 turnos al máximo.</t>
        </is>
      </c>
      <c r="G167" s="6" t="inlineStr">
        <is>
          <t>Costo</t>
        </is>
      </c>
      <c r="H167" s="6" t="inlineStr">
        <is>
          <t>Atajo</t>
        </is>
      </c>
      <c r="I167" s="4" t="n"/>
      <c r="J167" s="4" t="n"/>
      <c r="K167" s="4" t="n"/>
      <c r="L167" s="6" t="inlineStr">
        <is>
          <t>Year-end brings 30% more orders and people asking for vacation.</t>
        </is>
      </c>
      <c r="M167" s="6" t="inlineStr">
        <is>
          <t>Freeze leave</t>
        </is>
      </c>
      <c r="N167" s="6" t="inlineStr">
        <is>
          <t>You freeze December leave and keep the 3 shifts at maximum.</t>
        </is>
      </c>
      <c r="O167" s="4" t="n"/>
    </row>
    <row r="168" ht="27" customHeight="1">
      <c r="A168" s="6" t="inlineStr">
        <is>
          <t>m11p</t>
        </is>
      </c>
      <c r="B168" s="6" t="inlineStr">
        <is>
          <t>11 a 12</t>
        </is>
      </c>
      <c r="C168" s="6" t="inlineStr">
        <is>
          <t>PLANTA</t>
        </is>
      </c>
      <c r="D168" s="6" t="inlineStr">
        <is>
          <t>Llega fin de año con 30% más de pedidos y gente que pide vacaciones.</t>
        </is>
      </c>
      <c r="E168" s="6" t="inlineStr">
        <is>
          <t>Dar los permisos</t>
        </is>
      </c>
      <c r="F168" s="6" t="inlineStr">
        <is>
          <t>Das los permisos pedidos y toleras 2 semanas de atraso, aunque reclamen.</t>
        </is>
      </c>
      <c r="G168" s="6" t="inlineStr">
        <is>
          <t>Ventas</t>
        </is>
      </c>
      <c r="H168" s="6" t="inlineStr">
        <is>
          <t>Ceder</t>
        </is>
      </c>
      <c r="I168" s="4" t="n"/>
      <c r="J168" s="4" t="n"/>
      <c r="K168" s="4" t="n"/>
      <c r="L168" s="6" t="inlineStr">
        <is>
          <t>Year-end brings 30% more orders and people asking for vacation.</t>
        </is>
      </c>
      <c r="M168" s="6" t="inlineStr">
        <is>
          <t>Grant the leave</t>
        </is>
      </c>
      <c r="N168" s="6" t="inlineStr">
        <is>
          <t>You grant the leave asked and tolerate 2 weeks of delays, despite complaints.</t>
        </is>
      </c>
      <c r="O168" s="4" t="n"/>
    </row>
    <row r="169" ht="27" customHeight="1">
      <c r="A169" s="6" t="inlineStr">
        <is>
          <t>m11p</t>
        </is>
      </c>
      <c r="B169" s="6" t="inlineStr">
        <is>
          <t>11 a 12</t>
        </is>
      </c>
      <c r="C169" s="6" t="inlineStr">
        <is>
          <t>PLANTA</t>
        </is>
      </c>
      <c r="D169" s="6" t="inlineStr">
        <is>
          <t>Llega fin de año con 30% más de pedidos y gente que pide vacaciones.</t>
        </is>
      </c>
      <c r="E169" s="6" t="inlineStr">
        <is>
          <t>Turnos al paso</t>
        </is>
      </c>
      <c r="F169" s="6" t="inlineStr">
        <is>
          <t>Armas los turnos día a día y ves cómo evoluciona la demanda semanal.</t>
        </is>
      </c>
      <c r="G169" s="6" t="inlineStr">
        <is>
          <t>Costo</t>
        </is>
      </c>
      <c r="H169" s="6" t="inlineStr">
        <is>
          <t>Pasiva</t>
        </is>
      </c>
      <c r="I169" s="4" t="n"/>
      <c r="J169" s="4" t="n"/>
      <c r="K169" s="4" t="n"/>
      <c r="L169" s="6" t="inlineStr">
        <is>
          <t>Year-end brings 30% more orders and people asking for vacation.</t>
        </is>
      </c>
      <c r="M169" s="6" t="inlineStr">
        <is>
          <t>Shifts day by day</t>
        </is>
      </c>
      <c r="N169" s="6" t="inlineStr">
        <is>
          <t>You set shifts day by day and watch how weekly demand evolves.</t>
        </is>
      </c>
      <c r="O169" s="4" t="n"/>
    </row>
    <row r="170" ht="27" customHeight="1">
      <c r="A170" s="6" t="inlineStr">
        <is>
          <t>m11e</t>
        </is>
      </c>
      <c r="B170" s="6" t="inlineStr">
        <is>
          <t>Cualquiera</t>
        </is>
      </c>
      <c r="C170" s="6" t="inlineStr">
        <is>
          <t>ENTORNO</t>
        </is>
      </c>
      <c r="D170" s="6" t="inlineStr">
        <is>
          <t>Comunidades bloquean el camino y las ventas se detienen por 3 semanas.</t>
        </is>
      </c>
      <c r="E170" s="6" t="inlineStr">
        <is>
          <t>Desvío</t>
        </is>
      </c>
      <c r="F170" s="6" t="inlineStr">
        <is>
          <t>Coordinas un desvío con el cliente y hablas con la comunidad.</t>
        </is>
      </c>
      <c r="G170" s="6" t="inlineStr">
        <is>
          <t>Flete</t>
        </is>
      </c>
      <c r="H170" s="6" t="inlineStr">
        <is>
          <t>Equilibrada</t>
        </is>
      </c>
      <c r="I170" s="4" t="n"/>
      <c r="J170" s="4" t="n"/>
      <c r="K170" s="4" t="n"/>
      <c r="L170" s="6" t="inlineStr">
        <is>
          <t>Communities block the road and sales stop for 3 weeks.</t>
        </is>
      </c>
      <c r="M170" s="6" t="inlineStr">
        <is>
          <t>Detour</t>
        </is>
      </c>
      <c r="N170" s="6" t="inlineStr">
        <is>
          <t>You arrange a detour with the client and keep talks open with locals.</t>
        </is>
      </c>
      <c r="O170" s="4" t="n"/>
    </row>
    <row r="171" ht="27" customHeight="1">
      <c r="A171" s="6" t="inlineStr">
        <is>
          <t>m11e</t>
        </is>
      </c>
      <c r="B171" s="6" t="inlineStr">
        <is>
          <t>Cualquiera</t>
        </is>
      </c>
      <c r="C171" s="6" t="inlineStr">
        <is>
          <t>ENTORNO</t>
        </is>
      </c>
      <c r="D171" s="6" t="inlineStr">
        <is>
          <t>Comunidades bloquean el camino y las ventas se detienen por 3 semanas.</t>
        </is>
      </c>
      <c r="E171" s="6" t="inlineStr">
        <is>
          <t>Cobrar el atraso</t>
        </is>
      </c>
      <c r="F171" s="6" t="inlineStr">
        <is>
          <t>Cargas al cliente el costo del bloqueo y se lo explicas con una carta formal.</t>
        </is>
      </c>
      <c r="G171" s="6" t="inlineStr">
        <is>
          <t>Ventas</t>
        </is>
      </c>
      <c r="H171" s="6" t="inlineStr">
        <is>
          <t>Atajo</t>
        </is>
      </c>
      <c r="I171" s="4" t="n"/>
      <c r="J171" s="4" t="n"/>
      <c r="K171" s="4" t="n"/>
      <c r="L171" s="6" t="inlineStr">
        <is>
          <t>Communities block the road and sales stop for 3 weeks.</t>
        </is>
      </c>
      <c r="M171" s="6" t="inlineStr">
        <is>
          <t>Bill the delay</t>
        </is>
      </c>
      <c r="N171" s="6" t="inlineStr">
        <is>
          <t>You bill the client for the blockade cost and explain it if they complain.</t>
        </is>
      </c>
      <c r="O171" s="4" t="n"/>
    </row>
    <row r="172" ht="27" customHeight="1">
      <c r="A172" s="6" t="inlineStr">
        <is>
          <t>m11e</t>
        </is>
      </c>
      <c r="B172" s="6" t="inlineStr">
        <is>
          <t>Cualquiera</t>
        </is>
      </c>
      <c r="C172" s="6" t="inlineStr">
        <is>
          <t>ENTORNO</t>
        </is>
      </c>
      <c r="D172" s="6" t="inlineStr">
        <is>
          <t>Comunidades bloquean el camino y las ventas se detienen por 3 semanas.</t>
        </is>
      </c>
      <c r="E172" s="6" t="inlineStr">
        <is>
          <t>Pagar el paso</t>
        </is>
      </c>
      <c r="F172" s="6" t="inlineStr">
        <is>
          <t>Pagas peaje y escolta para despachar los 20 pedidos pendientes.</t>
        </is>
      </c>
      <c r="G172" s="6" t="inlineStr">
        <is>
          <t>Flete</t>
        </is>
      </c>
      <c r="H172" s="6" t="inlineStr">
        <is>
          <t>Ceder</t>
        </is>
      </c>
      <c r="I172" s="4" t="n"/>
      <c r="J172" s="4" t="n"/>
      <c r="K172" s="4" t="n"/>
      <c r="L172" s="6" t="inlineStr">
        <is>
          <t>Communities block the road and sales stop for 3 weeks.</t>
        </is>
      </c>
      <c r="M172" s="6" t="inlineStr">
        <is>
          <t>Escort and toll</t>
        </is>
      </c>
      <c r="N172" s="6" t="inlineStr">
        <is>
          <t>You buy tolls and escorts to ship the 20 pending orders.</t>
        </is>
      </c>
      <c r="O172" s="4" t="n"/>
    </row>
    <row r="173" ht="27" customHeight="1">
      <c r="A173" s="6" t="inlineStr">
        <is>
          <t>m11e</t>
        </is>
      </c>
      <c r="B173" s="6" t="inlineStr">
        <is>
          <t>Cualquiera</t>
        </is>
      </c>
      <c r="C173" s="6" t="inlineStr">
        <is>
          <t>ENTORNO</t>
        </is>
      </c>
      <c r="D173" s="6" t="inlineStr">
        <is>
          <t>Comunidades bloquean el camino y las ventas se detienen por 3 semanas.</t>
        </is>
      </c>
      <c r="E173" s="6" t="inlineStr">
        <is>
          <t>Pausar despachos</t>
        </is>
      </c>
      <c r="F173" s="6" t="inlineStr">
        <is>
          <t>Detienes los despachos y otros resuelven el bloqueo con la comunidad.</t>
        </is>
      </c>
      <c r="G173" s="6" t="inlineStr">
        <is>
          <t>Ventas</t>
        </is>
      </c>
      <c r="H173" s="6" t="inlineStr">
        <is>
          <t>Pasiva</t>
        </is>
      </c>
      <c r="I173" s="4" t="n"/>
      <c r="J173" s="4" t="n"/>
      <c r="K173" s="4" t="n"/>
      <c r="L173" s="6" t="inlineStr">
        <is>
          <t>Communities block the road and sales stop for 3 weeks.</t>
        </is>
      </c>
      <c r="M173" s="6" t="inlineStr">
        <is>
          <t>Pause shipments</t>
        </is>
      </c>
      <c r="N173" s="6" t="inlineStr">
        <is>
          <t>You hold the trucks and the client opens talks with the community.</t>
        </is>
      </c>
      <c r="O173" s="4" t="n"/>
    </row>
    <row r="174" ht="27" customHeight="1">
      <c r="A174" s="6" t="inlineStr">
        <is>
          <t>m11s</t>
        </is>
      </c>
      <c r="B174" s="6" t="inlineStr">
        <is>
          <t>Cualquiera</t>
        </is>
      </c>
      <c r="C174" s="6" t="inlineStr">
        <is>
          <t>ESTRATEGIA</t>
        </is>
      </c>
      <c r="D174" s="6" t="inlineStr">
        <is>
          <t>Tus vendedores cobran 3% sobre la venta, aunque el margen sea bajo.</t>
        </is>
      </c>
      <c r="E174" s="6" t="inlineStr">
        <is>
          <t>Comisión por margen</t>
        </is>
      </c>
      <c r="F174" s="6" t="inlineStr">
        <is>
          <t>Cambias la base de comisión a margen y fijas un piso de 1% por 6 meses.</t>
        </is>
      </c>
      <c r="G174" s="6" t="inlineStr">
        <is>
          <t>SG&amp;A</t>
        </is>
      </c>
      <c r="H174" s="6" t="inlineStr">
        <is>
          <t>Equilibrada</t>
        </is>
      </c>
      <c r="I174" s="4" t="n"/>
      <c r="J174" s="4" t="n"/>
      <c r="K174" s="4" t="n"/>
      <c r="L174" s="6" t="inlineStr">
        <is>
          <t>Your salespeople earn 3% on sales, even when the margin is low.</t>
        </is>
      </c>
      <c r="M174" s="6" t="inlineStr">
        <is>
          <t>Pay on margin</t>
        </is>
      </c>
      <c r="N174" s="6" t="inlineStr">
        <is>
          <t>You switch the commission base to margin and set a 1% floor for 6 months.</t>
        </is>
      </c>
      <c r="O174" s="4" t="n"/>
    </row>
    <row r="175" ht="27" customHeight="1">
      <c r="A175" s="6" t="inlineStr">
        <is>
          <t>m11s</t>
        </is>
      </c>
      <c r="B175" s="6" t="inlineStr">
        <is>
          <t>Cualquiera</t>
        </is>
      </c>
      <c r="C175" s="6" t="inlineStr">
        <is>
          <t>ESTRATEGIA</t>
        </is>
      </c>
      <c r="D175" s="6" t="inlineStr">
        <is>
          <t>Tus vendedores cobran 3% sobre la venta, aunque el margen sea bajo.</t>
        </is>
      </c>
      <c r="E175" s="6" t="inlineStr">
        <is>
          <t>Metas más altas</t>
        </is>
      </c>
      <c r="F175" s="6" t="inlineStr">
        <is>
          <t>Subes 15% la meta de ventas de todos y esperas más volumen de inmediato.</t>
        </is>
      </c>
      <c r="G175" s="6" t="inlineStr">
        <is>
          <t>Ventas</t>
        </is>
      </c>
      <c r="H175" s="6" t="inlineStr">
        <is>
          <t>Atajo</t>
        </is>
      </c>
      <c r="I175" s="4" t="n"/>
      <c r="J175" s="4" t="n"/>
      <c r="K175" s="4" t="n"/>
      <c r="L175" s="6" t="inlineStr">
        <is>
          <t>Your salespeople earn 3% on sales, even when the margin is low.</t>
        </is>
      </c>
      <c r="M175" s="6" t="inlineStr">
        <is>
          <t>Higher targets</t>
        </is>
      </c>
      <c r="N175" s="6" t="inlineStr">
        <is>
          <t>You raise everyone's sales target 15% and expect more volume right away.</t>
        </is>
      </c>
      <c r="O175" s="4" t="n"/>
    </row>
    <row r="176" ht="27" customHeight="1">
      <c r="A176" s="6" t="inlineStr">
        <is>
          <t>m11s</t>
        </is>
      </c>
      <c r="B176" s="6" t="inlineStr">
        <is>
          <t>Cualquiera</t>
        </is>
      </c>
      <c r="C176" s="6" t="inlineStr">
        <is>
          <t>ESTRATEGIA</t>
        </is>
      </c>
      <c r="D176" s="6" t="inlineStr">
        <is>
          <t>Tus vendedores cobran 3% sobre la venta, aunque el margen sea bajo.</t>
        </is>
      </c>
      <c r="E176" s="6" t="inlineStr">
        <is>
          <t>Comisión de 4%</t>
        </is>
      </c>
      <c r="F176" s="6" t="inlineStr">
        <is>
          <t>Subes la comisión a 4% para que no se vayan los vendedores más fuertes.</t>
        </is>
      </c>
      <c r="G176" s="6" t="inlineStr">
        <is>
          <t>SG&amp;A</t>
        </is>
      </c>
      <c r="H176" s="6" t="inlineStr">
        <is>
          <t>Ceder</t>
        </is>
      </c>
      <c r="I176" s="4" t="n"/>
      <c r="J176" s="4" t="n"/>
      <c r="K176" s="4" t="n"/>
      <c r="L176" s="6" t="inlineStr">
        <is>
          <t>Your salespeople earn 3% on sales, even when the margin is low.</t>
        </is>
      </c>
      <c r="M176" s="6" t="inlineStr">
        <is>
          <t>4% commission</t>
        </is>
      </c>
      <c r="N176" s="6" t="inlineStr">
        <is>
          <t>You lift the commission to 4% so your strongest sellers do not leave.</t>
        </is>
      </c>
      <c r="O176" s="4" t="n"/>
    </row>
    <row r="177" ht="27" customHeight="1">
      <c r="A177" s="6" t="inlineStr">
        <is>
          <t>m11s</t>
        </is>
      </c>
      <c r="B177" s="6" t="inlineStr">
        <is>
          <t>Cualquiera</t>
        </is>
      </c>
      <c r="C177" s="6" t="inlineStr">
        <is>
          <t>ESTRATEGIA</t>
        </is>
      </c>
      <c r="D177" s="6" t="inlineStr">
        <is>
          <t>Tus vendedores cobran 3% sobre la venta, aunque el margen sea bajo.</t>
        </is>
      </c>
      <c r="E177" s="6" t="inlineStr">
        <is>
          <t>Esquema actual</t>
        </is>
      </c>
      <c r="F177" s="6" t="inlineStr">
        <is>
          <t>Dejas el esquema actual y lo revisas en la negociación anual de metas.</t>
        </is>
      </c>
      <c r="G177" s="6" t="inlineStr">
        <is>
          <t>Ventas</t>
        </is>
      </c>
      <c r="H177" s="6" t="inlineStr">
        <is>
          <t>Pasiva</t>
        </is>
      </c>
      <c r="I177" s="4" t="n"/>
      <c r="J177" s="4" t="n"/>
      <c r="K177" s="4" t="n"/>
      <c r="L177" s="6" t="inlineStr">
        <is>
          <t>Your salespeople earn 3% on sales, even when the margin is low.</t>
        </is>
      </c>
      <c r="M177" s="6" t="inlineStr">
        <is>
          <t>Current scheme</t>
        </is>
      </c>
      <c r="N177" s="6" t="inlineStr">
        <is>
          <t>You keep the current scheme and review it in the annual targets round.</t>
        </is>
      </c>
      <c r="O177" s="4" t="n"/>
    </row>
    <row r="178" ht="40.5" customHeight="1">
      <c r="A178" s="6" t="inlineStr">
        <is>
          <t>m12c</t>
        </is>
      </c>
      <c r="B178" s="6" t="inlineStr">
        <is>
          <t>Cualquiera</t>
        </is>
      </c>
      <c r="C178" s="6" t="inlineStr">
        <is>
          <t>CLIENTE</t>
        </is>
      </c>
      <c r="D178" s="6" t="inlineStr">
        <is>
          <t>Un cliente ofrece renovar 3 años a precio fijo, sin reajuste por inflación.</t>
        </is>
      </c>
      <c r="E178" s="6" t="inlineStr">
        <is>
          <t>Fijo con tope</t>
        </is>
      </c>
      <c r="F178" s="6" t="inlineStr">
        <is>
          <t>Aceptas 36 meses y pides un tope de variación atado al costo de insumos.</t>
        </is>
      </c>
      <c r="G178" s="6" t="inlineStr">
        <is>
          <t>Ventas</t>
        </is>
      </c>
      <c r="H178" s="6" t="inlineStr">
        <is>
          <t>Equilibrada</t>
        </is>
      </c>
      <c r="I178" s="4" t="n"/>
      <c r="J178" s="4" t="n"/>
      <c r="K178" s="4" t="n"/>
      <c r="L178" s="6" t="inlineStr">
        <is>
          <t>A client offers to renew 3 years at a fixed price, no inflation clause.</t>
        </is>
      </c>
      <c r="M178" s="6" t="inlineStr">
        <is>
          <t>Fixed with a limit</t>
        </is>
      </c>
      <c r="N178" s="6" t="inlineStr">
        <is>
          <t>You accept 36 months and ask for a limit that follows input cost.</t>
        </is>
      </c>
      <c r="O178" s="4" t="n"/>
    </row>
    <row r="179" ht="40.5" customHeight="1">
      <c r="A179" s="6" t="inlineStr">
        <is>
          <t>m12c</t>
        </is>
      </c>
      <c r="B179" s="6" t="inlineStr">
        <is>
          <t>Cualquiera</t>
        </is>
      </c>
      <c r="C179" s="6" t="inlineStr">
        <is>
          <t>CLIENTE</t>
        </is>
      </c>
      <c r="D179" s="6" t="inlineStr">
        <is>
          <t>Un cliente ofrece renovar 3 años a precio fijo, sin reajuste por inflación.</t>
        </is>
      </c>
      <c r="E179" s="6" t="inlineStr">
        <is>
          <t>Alza y firma</t>
        </is>
      </c>
      <c r="F179" s="6" t="inlineStr">
        <is>
          <t>Firmas con un precio inicial 3% más alto, aunque quede sobre el mercado.</t>
        </is>
      </c>
      <c r="G179" s="6" t="inlineStr">
        <is>
          <t>Ventas</t>
        </is>
      </c>
      <c r="H179" s="6" t="inlineStr">
        <is>
          <t>Atajo</t>
        </is>
      </c>
      <c r="I179" s="4" t="n"/>
      <c r="J179" s="4" t="n"/>
      <c r="K179" s="4" t="n"/>
      <c r="L179" s="6" t="inlineStr">
        <is>
          <t>A client offers to renew 3 years at a fixed price, no inflation clause.</t>
        </is>
      </c>
      <c r="M179" s="6" t="inlineStr">
        <is>
          <t>Hike and sign</t>
        </is>
      </c>
      <c r="N179" s="6" t="inlineStr">
        <is>
          <t>You sign at an opening price 3% higher, even if it sits above the market.</t>
        </is>
      </c>
      <c r="O179" s="4" t="n"/>
    </row>
    <row r="180" ht="40.5" customHeight="1">
      <c r="A180" s="6" t="inlineStr">
        <is>
          <t>m12c</t>
        </is>
      </c>
      <c r="B180" s="6" t="inlineStr">
        <is>
          <t>Cualquiera</t>
        </is>
      </c>
      <c r="C180" s="6" t="inlineStr">
        <is>
          <t>CLIENTE</t>
        </is>
      </c>
      <c r="D180" s="6" t="inlineStr">
        <is>
          <t>Un cliente ofrece renovar 3 años a precio fijo, sin reajuste por inflación.</t>
        </is>
      </c>
      <c r="E180" s="6" t="inlineStr">
        <is>
          <t>Firmar como piden</t>
        </is>
      </c>
      <c r="F180" s="6" t="inlineStr">
        <is>
          <t>Firmas los 3 años tal como los redactó el cliente, con su propio texto.</t>
        </is>
      </c>
      <c r="G180" s="6" t="inlineStr">
        <is>
          <t>Ventas</t>
        </is>
      </c>
      <c r="H180" s="6" t="inlineStr">
        <is>
          <t>Ceder</t>
        </is>
      </c>
      <c r="I180" s="4" t="n"/>
      <c r="J180" s="4" t="n"/>
      <c r="K180" s="4" t="n"/>
      <c r="L180" s="6" t="inlineStr">
        <is>
          <t>A client offers to renew 3 years at a fixed price, no inflation clause.</t>
        </is>
      </c>
      <c r="M180" s="6" t="inlineStr">
        <is>
          <t>Sign as asked</t>
        </is>
      </c>
      <c r="N180" s="6" t="inlineStr">
        <is>
          <t>You sign the 3 years exactly as the client drafted, in its wording.</t>
        </is>
      </c>
      <c r="O180" s="4" t="n"/>
    </row>
    <row r="181" ht="40.5" customHeight="1">
      <c r="A181" s="6" t="inlineStr">
        <is>
          <t>m12c</t>
        </is>
      </c>
      <c r="B181" s="6" t="inlineStr">
        <is>
          <t>Cualquiera</t>
        </is>
      </c>
      <c r="C181" s="6" t="inlineStr">
        <is>
          <t>CLIENTE</t>
        </is>
      </c>
      <c r="D181" s="6" t="inlineStr">
        <is>
          <t>Un cliente ofrece renovar 3 años a precio fijo, sin reajuste por inflación.</t>
        </is>
      </c>
      <c r="E181" s="6" t="inlineStr">
        <is>
          <t>Dejar vencer</t>
        </is>
      </c>
      <c r="F181" s="6" t="inlineStr">
        <is>
          <t>Pides más tiempo al área legal y la oferta caduca en 30 días.</t>
        </is>
      </c>
      <c r="G181" s="6" t="inlineStr">
        <is>
          <t>Ventas</t>
        </is>
      </c>
      <c r="H181" s="6" t="inlineStr">
        <is>
          <t>Pasiva</t>
        </is>
      </c>
      <c r="I181" s="4" t="n"/>
      <c r="J181" s="4" t="n"/>
      <c r="K181" s="4" t="n"/>
      <c r="L181" s="6" t="inlineStr">
        <is>
          <t>A client offers to renew 3 years at a fixed price, no inflation clause.</t>
        </is>
      </c>
      <c r="M181" s="6" t="inlineStr">
        <is>
          <t>Ask for time</t>
        </is>
      </c>
      <c r="N181" s="6" t="inlineStr">
        <is>
          <t>You ask legal for more time and the offer expires in 30 days.</t>
        </is>
      </c>
      <c r="O181" s="4" t="n"/>
    </row>
    <row r="182" ht="27" customHeight="1">
      <c r="A182" s="6" t="inlineStr">
        <is>
          <t>m12p</t>
        </is>
      </c>
      <c r="B182" s="6" t="inlineStr">
        <is>
          <t>11 a 12</t>
        </is>
      </c>
      <c r="C182" s="6" t="inlineStr">
        <is>
          <t>PLANTA</t>
        </is>
      </c>
      <c r="D182" s="6" t="inlineStr">
        <is>
          <t>Cierra el año y 5% del inventario parece obsoleto antes de valorarlo.</t>
        </is>
      </c>
      <c r="E182" s="6" t="inlineStr">
        <is>
          <t>Conteo y venta</t>
        </is>
      </c>
      <c r="F182" s="6" t="inlineStr">
        <is>
          <t>Cuentas el stock, vendes lo recuperable y das de baja el resto.</t>
        </is>
      </c>
      <c r="G182" s="6" t="inlineStr">
        <is>
          <t>Costo</t>
        </is>
      </c>
      <c r="H182" s="6" t="inlineStr">
        <is>
          <t>Equilibrada</t>
        </is>
      </c>
      <c r="I182" s="4" t="n"/>
      <c r="J182" s="4" t="n"/>
      <c r="K182" s="4" t="n"/>
      <c r="L182" s="6" t="inlineStr">
        <is>
          <t>The year closes and 5% of inventory looks obsolete before valuation.</t>
        </is>
      </c>
      <c r="M182" s="6" t="inlineStr">
        <is>
          <t>Count and sell</t>
        </is>
      </c>
      <c r="N182" s="6" t="inlineStr">
        <is>
          <t>You count the inventory, sell the recoverable part and write off the rest.</t>
        </is>
      </c>
      <c r="O182" s="4" t="n"/>
    </row>
    <row r="183" ht="27" customHeight="1">
      <c r="A183" s="6" t="inlineStr">
        <is>
          <t>m12p</t>
        </is>
      </c>
      <c r="B183" s="6" t="inlineStr">
        <is>
          <t>11 a 12</t>
        </is>
      </c>
      <c r="C183" s="6" t="inlineStr">
        <is>
          <t>PLANTA</t>
        </is>
      </c>
      <c r="D183" s="6" t="inlineStr">
        <is>
          <t>Cierra el año y 5% del inventario parece obsoleto antes de valorarlo.</t>
        </is>
      </c>
      <c r="E183" s="6" t="inlineStr">
        <is>
          <t>Valor de libro</t>
        </is>
      </c>
      <c r="F183" s="6" t="inlineStr">
        <is>
          <t>Mantienes el 5% obsoleto a valor de libro y difieres el castigo.</t>
        </is>
      </c>
      <c r="G183" s="6" t="inlineStr">
        <is>
          <t>Costo</t>
        </is>
      </c>
      <c r="H183" s="6" t="inlineStr">
        <is>
          <t>Atajo</t>
        </is>
      </c>
      <c r="I183" s="4" t="n"/>
      <c r="J183" s="4" t="n"/>
      <c r="K183" s="4" t="n"/>
      <c r="L183" s="6" t="inlineStr">
        <is>
          <t>The year closes and 5% of inventory looks obsolete before valuation.</t>
        </is>
      </c>
      <c r="M183" s="6" t="inlineStr">
        <is>
          <t>Book value</t>
        </is>
      </c>
      <c r="N183" s="6" t="inlineStr">
        <is>
          <t>You keep the 5% obsolete at book value and defer the write-off.</t>
        </is>
      </c>
      <c r="O183" s="4" t="n"/>
    </row>
    <row r="184" ht="27" customHeight="1">
      <c r="A184" s="6" t="inlineStr">
        <is>
          <t>m12p</t>
        </is>
      </c>
      <c r="B184" s="6" t="inlineStr">
        <is>
          <t>11 a 12</t>
        </is>
      </c>
      <c r="C184" s="6" t="inlineStr">
        <is>
          <t>PLANTA</t>
        </is>
      </c>
      <c r="D184" s="6" t="inlineStr">
        <is>
          <t>Cierra el año y 5% del inventario parece obsoleto antes de valorarlo.</t>
        </is>
      </c>
      <c r="E184" s="6" t="inlineStr">
        <is>
          <t>Castigar de más</t>
        </is>
      </c>
      <c r="F184" s="6" t="inlineStr">
        <is>
          <t>Das de baja el 12% de una vez, como pide Auditoría, y absorbes el golpe.</t>
        </is>
      </c>
      <c r="G184" s="6" t="inlineStr">
        <is>
          <t>Costo</t>
        </is>
      </c>
      <c r="H184" s="6" t="inlineStr">
        <is>
          <t>Ceder</t>
        </is>
      </c>
      <c r="I184" s="4" t="n"/>
      <c r="J184" s="4" t="n"/>
      <c r="K184" s="4" t="n"/>
      <c r="L184" s="6" t="inlineStr">
        <is>
          <t>The year closes and 5% of inventory looks obsolete before valuation.</t>
        </is>
      </c>
      <c r="M184" s="6" t="inlineStr">
        <is>
          <t>Write off extra</t>
        </is>
      </c>
      <c r="N184" s="6" t="inlineStr">
        <is>
          <t>You write off 12% at once, as Audit insists, and carry the hit.</t>
        </is>
      </c>
      <c r="O184" s="4" t="n"/>
    </row>
    <row r="185" ht="27" customHeight="1">
      <c r="A185" s="6" t="inlineStr">
        <is>
          <t>m12p</t>
        </is>
      </c>
      <c r="B185" s="6" t="inlineStr">
        <is>
          <t>11 a 12</t>
        </is>
      </c>
      <c r="C185" s="6" t="inlineStr">
        <is>
          <t>PLANTA</t>
        </is>
      </c>
      <c r="D185" s="6" t="inlineStr">
        <is>
          <t>Cierra el año y 5% del inventario parece obsoleto antes de valorarlo.</t>
        </is>
      </c>
      <c r="E185" s="6" t="inlineStr">
        <is>
          <t>Cerrar con sistema</t>
        </is>
      </c>
      <c r="F185" s="6" t="inlineStr">
        <is>
          <t>Usas las cifras del sistema y no demoras el cierre más de 3 días.</t>
        </is>
      </c>
      <c r="G185" s="6" t="inlineStr">
        <is>
          <t>Costo</t>
        </is>
      </c>
      <c r="H185" s="6" t="inlineStr">
        <is>
          <t>Pasiva</t>
        </is>
      </c>
      <c r="I185" s="4" t="n"/>
      <c r="J185" s="4" t="n"/>
      <c r="K185" s="4" t="n"/>
      <c r="L185" s="6" t="inlineStr">
        <is>
          <t>The year closes and 5% of inventory looks obsolete before valuation.</t>
        </is>
      </c>
      <c r="M185" s="6" t="inlineStr">
        <is>
          <t>Close on system</t>
        </is>
      </c>
      <c r="N185" s="6" t="inlineStr">
        <is>
          <t>You use the system figures and do not delay the close beyond 3 days.</t>
        </is>
      </c>
      <c r="O185" s="4" t="n"/>
    </row>
    <row r="186" ht="27" customHeight="1">
      <c r="A186" s="6" t="inlineStr">
        <is>
          <t>m12e</t>
        </is>
      </c>
      <c r="B186" s="6" t="inlineStr">
        <is>
          <t>11 a 12</t>
        </is>
      </c>
      <c r="C186" s="6" t="inlineStr">
        <is>
          <t>ENTORNO</t>
        </is>
      </c>
      <c r="D186" s="6" t="inlineStr">
        <is>
          <t>Un paro de camioneros amenaza los despachos de diciembre, 18% del año.</t>
        </is>
      </c>
      <c r="E186" s="6" t="inlineStr">
        <is>
          <t>Adelantar despachos</t>
        </is>
      </c>
      <c r="F186" s="6" t="inlineStr">
        <is>
          <t>Adelantas 40% de los despachos y reservas 3 transportistas alternativos.</t>
        </is>
      </c>
      <c r="G186" s="6" t="inlineStr">
        <is>
          <t>Flete</t>
        </is>
      </c>
      <c r="H186" s="6" t="inlineStr">
        <is>
          <t>Equilibrada</t>
        </is>
      </c>
      <c r="I186" s="4" t="n"/>
      <c r="J186" s="4" t="n"/>
      <c r="K186" s="4" t="n"/>
      <c r="L186" s="6" t="inlineStr">
        <is>
          <t>A trucker strike threatens December shipments, 18% of the year.</t>
        </is>
      </c>
      <c r="M186" s="6" t="inlineStr">
        <is>
          <t>Ship early</t>
        </is>
      </c>
      <c r="N186" s="6" t="inlineStr">
        <is>
          <t>You ship 40% of the dispatches early and book 3 alternative carriers.</t>
        </is>
      </c>
      <c r="O186" s="4" t="n"/>
    </row>
    <row r="187" ht="27" customHeight="1">
      <c r="A187" s="6" t="inlineStr">
        <is>
          <t>m12e</t>
        </is>
      </c>
      <c r="B187" s="6" t="inlineStr">
        <is>
          <t>11 a 12</t>
        </is>
      </c>
      <c r="C187" s="6" t="inlineStr">
        <is>
          <t>ENTORNO</t>
        </is>
      </c>
      <c r="D187" s="6" t="inlineStr">
        <is>
          <t>Un paro de camioneros amenaza los despachos de diciembre, 18% del año.</t>
        </is>
      </c>
      <c r="E187" s="6" t="inlineStr">
        <is>
          <t>Sobreprecio</t>
        </is>
      </c>
      <c r="F187" s="6" t="inlineStr">
        <is>
          <t>Cargas 5% a los despachos por el paro y lo explicas después de facturar.</t>
        </is>
      </c>
      <c r="G187" s="6" t="inlineStr">
        <is>
          <t>Ventas</t>
        </is>
      </c>
      <c r="H187" s="6" t="inlineStr">
        <is>
          <t>Atajo</t>
        </is>
      </c>
      <c r="I187" s="4" t="n"/>
      <c r="J187" s="4" t="n"/>
      <c r="K187" s="4" t="n"/>
      <c r="L187" s="6" t="inlineStr">
        <is>
          <t>A trucker strike threatens December shipments, 18% of the year.</t>
        </is>
      </c>
      <c r="M187" s="6" t="inlineStr">
        <is>
          <t>Surcharge</t>
        </is>
      </c>
      <c r="N187" s="6" t="inlineStr">
        <is>
          <t>You apply a 5% surcharge for the strike and explain it after invoicing.</t>
        </is>
      </c>
      <c r="O187" s="4" t="n"/>
    </row>
    <row r="188" ht="27" customHeight="1">
      <c r="A188" s="6" t="inlineStr">
        <is>
          <t>m12e</t>
        </is>
      </c>
      <c r="B188" s="6" t="inlineStr">
        <is>
          <t>11 a 12</t>
        </is>
      </c>
      <c r="C188" s="6" t="inlineStr">
        <is>
          <t>ENTORNO</t>
        </is>
      </c>
      <c r="D188" s="6" t="inlineStr">
        <is>
          <t>Un paro de camioneros amenaza los despachos de diciembre, 18% del año.</t>
        </is>
      </c>
      <c r="E188" s="6" t="inlineStr">
        <is>
          <t>Autorizar tarifas</t>
        </is>
      </c>
      <c r="F188" s="6" t="inlineStr">
        <is>
          <t>Autorizas la tarifa que pida cada transportista para cumplir las fechas.</t>
        </is>
      </c>
      <c r="G188" s="6" t="inlineStr">
        <is>
          <t>Flete</t>
        </is>
      </c>
      <c r="H188" s="6" t="inlineStr">
        <is>
          <t>Ceder</t>
        </is>
      </c>
      <c r="I188" s="4" t="n"/>
      <c r="J188" s="4" t="n"/>
      <c r="K188" s="4" t="n"/>
      <c r="L188" s="6" t="inlineStr">
        <is>
          <t>A trucker strike threatens December shipments, 18% of the year.</t>
        </is>
      </c>
      <c r="M188" s="6" t="inlineStr">
        <is>
          <t>Approve rates</t>
        </is>
      </c>
      <c r="N188" s="6" t="inlineStr">
        <is>
          <t>You approve whatever rate each carrier quotes to meet the dates.</t>
        </is>
      </c>
      <c r="O188" s="4" t="n"/>
    </row>
    <row r="189" ht="27" customHeight="1">
      <c r="A189" s="6" t="inlineStr">
        <is>
          <t>m12e</t>
        </is>
      </c>
      <c r="B189" s="6" t="inlineStr">
        <is>
          <t>11 a 12</t>
        </is>
      </c>
      <c r="C189" s="6" t="inlineStr">
        <is>
          <t>ENTORNO</t>
        </is>
      </c>
      <c r="D189" s="6" t="inlineStr">
        <is>
          <t>Un paro de camioneros amenaza los despachos de diciembre, 18% del año.</t>
        </is>
      </c>
      <c r="E189" s="6" t="inlineStr">
        <is>
          <t>Seguir con el plan</t>
        </is>
      </c>
      <c r="F189" s="6" t="inlineStr">
        <is>
          <t>Mantienes el plan con los camiones disponibles y los pedidos se acumulan.</t>
        </is>
      </c>
      <c r="G189" s="6" t="inlineStr">
        <is>
          <t>Ventas</t>
        </is>
      </c>
      <c r="H189" s="6" t="inlineStr">
        <is>
          <t>Pasiva</t>
        </is>
      </c>
      <c r="I189" s="4" t="n"/>
      <c r="J189" s="4" t="n"/>
      <c r="K189" s="4" t="n"/>
      <c r="L189" s="6" t="inlineStr">
        <is>
          <t>A trucker strike threatens December shipments, 18% of the year.</t>
        </is>
      </c>
      <c r="M189" s="6" t="inlineStr">
        <is>
          <t>Run as planned</t>
        </is>
      </c>
      <c r="N189" s="6" t="inlineStr">
        <is>
          <t>You keep the plan with the trucks available and orders pile up.</t>
        </is>
      </c>
      <c r="O189" s="4" t="n"/>
    </row>
    <row r="190" ht="27" customHeight="1">
      <c r="A190" s="6" t="inlineStr">
        <is>
          <t>m12s</t>
        </is>
      </c>
      <c r="B190" s="6" t="inlineStr">
        <is>
          <t>11 a 12</t>
        </is>
      </c>
      <c r="C190" s="6" t="inlineStr">
        <is>
          <t>ESTRATEGIA</t>
        </is>
      </c>
      <c r="D190" s="6" t="inlineStr">
        <is>
          <t>Falta 1 mes para cerrar y el OI está 1 punto bajo el plan.</t>
        </is>
      </c>
      <c r="E190" s="6" t="inlineStr">
        <is>
          <t>Congelar cargos</t>
        </is>
      </c>
      <c r="F190" s="6" t="inlineStr">
        <is>
          <t>Congelas 2 cargos vacantes y pausas capacitaciones ajenas a las ventas.</t>
        </is>
      </c>
      <c r="G190" s="6" t="inlineStr">
        <is>
          <t>SG&amp;A</t>
        </is>
      </c>
      <c r="H190" s="6" t="inlineStr">
        <is>
          <t>Equilibrada</t>
        </is>
      </c>
      <c r="I190" s="4" t="n"/>
      <c r="J190" s="4" t="n"/>
      <c r="K190" s="4" t="n"/>
      <c r="L190" s="6" t="inlineStr">
        <is>
          <t>One month before the close and OI sits 1 point below plan.</t>
        </is>
      </c>
      <c r="M190" s="6" t="inlineStr">
        <is>
          <t>Freeze hiring</t>
        </is>
      </c>
      <c r="N190" s="6" t="inlineStr">
        <is>
          <t>You freeze 2 open positions for 90 days and pause training unrelated to sales.</t>
        </is>
      </c>
      <c r="O190" s="4" t="n"/>
    </row>
    <row r="191" ht="27" customHeight="1">
      <c r="A191" s="6" t="inlineStr">
        <is>
          <t>m12s</t>
        </is>
      </c>
      <c r="B191" s="6" t="inlineStr">
        <is>
          <t>11 a 12</t>
        </is>
      </c>
      <c r="C191" s="6" t="inlineStr">
        <is>
          <t>ESTRATEGIA</t>
        </is>
      </c>
      <c r="D191" s="6" t="inlineStr">
        <is>
          <t>Falta 1 mes para cerrar y el OI está 1 punto bajo el plan.</t>
        </is>
      </c>
      <c r="E191" s="6" t="inlineStr">
        <is>
          <t>Adelantar facturas</t>
        </is>
      </c>
      <c r="F191" s="6" t="inlineStr">
        <is>
          <t>Adelantas facturación de enero a diciembre y cierras el año en plan.</t>
        </is>
      </c>
      <c r="G191" s="6" t="inlineStr">
        <is>
          <t>Ventas</t>
        </is>
      </c>
      <c r="H191" s="6" t="inlineStr">
        <is>
          <t>Atajo</t>
        </is>
      </c>
      <c r="I191" s="4" t="n"/>
      <c r="J191" s="4" t="n"/>
      <c r="K191" s="4" t="n"/>
      <c r="L191" s="6" t="inlineStr">
        <is>
          <t>One month before the close and OI sits 1 point below plan.</t>
        </is>
      </c>
      <c r="M191" s="6" t="inlineStr">
        <is>
          <t>Pull invoices in</t>
        </is>
      </c>
      <c r="N191" s="6" t="inlineStr">
        <is>
          <t>You pull January invoicing into December and land the year above plan.</t>
        </is>
      </c>
      <c r="O191" s="4" t="n"/>
    </row>
    <row r="192" ht="27" customHeight="1">
      <c r="A192" s="6" t="inlineStr">
        <is>
          <t>m12s</t>
        </is>
      </c>
      <c r="B192" s="6" t="inlineStr">
        <is>
          <t>11 a 12</t>
        </is>
      </c>
      <c r="C192" s="6" t="inlineStr">
        <is>
          <t>ESTRATEGIA</t>
        </is>
      </c>
      <c r="D192" s="6" t="inlineStr">
        <is>
          <t>Falta 1 mes para cerrar y el OI está 1 punto bajo el plan.</t>
        </is>
      </c>
      <c r="E192" s="6" t="inlineStr">
        <is>
          <t>Premiar al equipo</t>
        </is>
      </c>
      <c r="F192" s="6" t="inlineStr">
        <is>
          <t>Otorgas el bono completo al equipo, aunque el resultado quede lejos.</t>
        </is>
      </c>
      <c r="G192" s="6" t="inlineStr">
        <is>
          <t>SG&amp;A</t>
        </is>
      </c>
      <c r="H192" s="6" t="inlineStr">
        <is>
          <t>Ceder</t>
        </is>
      </c>
      <c r="I192" s="4" t="n"/>
      <c r="J192" s="4" t="n"/>
      <c r="K192" s="4" t="n"/>
      <c r="L192" s="6" t="inlineStr">
        <is>
          <t>One month before the close and OI sits 1 point below plan.</t>
        </is>
      </c>
      <c r="M192" s="6" t="inlineStr">
        <is>
          <t>Reward the team</t>
        </is>
      </c>
      <c r="N192" s="6" t="inlineStr">
        <is>
          <t>You award the full bonus to the team, even if the result falls short.</t>
        </is>
      </c>
      <c r="O192" s="4" t="n"/>
    </row>
    <row r="193" ht="27" customHeight="1">
      <c r="A193" s="6" t="inlineStr">
        <is>
          <t>m12s</t>
        </is>
      </c>
      <c r="B193" s="6" t="inlineStr">
        <is>
          <t>11 a 12</t>
        </is>
      </c>
      <c r="C193" s="6" t="inlineStr">
        <is>
          <t>ESTRATEGIA</t>
        </is>
      </c>
      <c r="D193" s="6" t="inlineStr">
        <is>
          <t>Falta 1 mes para cerrar y el OI está 1 punto bajo el plan.</t>
        </is>
      </c>
      <c r="E193" s="6" t="inlineStr">
        <is>
          <t>Ver qué sale</t>
        </is>
      </c>
      <c r="F193" s="6" t="inlineStr">
        <is>
          <t>Cierras el año como viene y analizas la diferencia con el plan después.</t>
        </is>
      </c>
      <c r="G193" s="6" t="inlineStr">
        <is>
          <t>Ventas</t>
        </is>
      </c>
      <c r="H193" s="6" t="inlineStr">
        <is>
          <t>Pasiva</t>
        </is>
      </c>
      <c r="I193" s="4" t="n"/>
      <c r="J193" s="4" t="n"/>
      <c r="K193" s="4" t="n"/>
      <c r="L193" s="6" t="inlineStr">
        <is>
          <t>One month before the close and OI sits 1 point below plan.</t>
        </is>
      </c>
      <c r="M193" s="6" t="inlineStr">
        <is>
          <t>See what comes</t>
        </is>
      </c>
      <c r="N193" s="6" t="inlineStr">
        <is>
          <t>You close the year as it stands and analyze the gap to plan afterwards.</t>
        </is>
      </c>
      <c r="O193" s="4" t="n"/>
    </row>
  </sheetData>
  <autoFilter ref="A1:O193"/>
  <conditionalFormatting sqref="I2:I193">
    <cfRule type="expression" priority="1" dxfId="0">
      <formula>I2="No"</formula>
    </cfRule>
    <cfRule type="expression" priority="2" dxfId="1">
      <formula>I2="Ambiguo"</formula>
    </cfRule>
  </conditionalFormatting>
  <conditionalFormatting sqref="J2:J193">
    <cfRule type="expression" priority="3" dxfId="0">
      <formula>AND(J2&lt;&gt;"",J2&lt;&gt;G2)</formula>
    </cfRule>
  </conditionalFormatting>
  <conditionalFormatting sqref="O2:O193">
    <cfRule type="expression" priority="4" dxfId="0">
      <formula>O2="No"</formula>
    </cfRule>
  </conditionalFormatting>
  <dataValidations count="3">
    <dataValidation sqref="I2:I193" showDropDown="0" showInputMessage="0" showErrorMessage="0" allowBlank="1" errorTitle="Valor no válido" error="Elige un valor de la lista" type="list">
      <formula1>"Sí,No,Ambiguo"</formula1>
    </dataValidation>
    <dataValidation sqref="J2:J193" showDropDown="0" showInputMessage="0" showErrorMessage="0" allowBlank="1" errorTitle="Valor no válido" error="Elige un valor de la lista" type="list">
      <formula1>"Ventas,Incentivos,Costo,Flete,Direct Chg,SG&amp;A,Fuera del P&amp;L"</formula1>
    </dataValidation>
    <dataValidation sqref="O2:O193" showDropDown="0" showInputMessage="0" showErrorMessage="0" allowBlank="1" errorTitle="Valor no válido" error="Elige un valor de la lista" type="list">
      <formula1>"Sí,No"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24" customWidth="1" min="4" max="4"/>
    <col width="44" customWidth="1" min="5" max="5"/>
    <col width="60" customWidth="1" min="6" max="6"/>
    <col width="14" customWidth="1" min="7" max="7"/>
    <col width="16" customWidth="1" min="8" max="8"/>
    <col width="40" customWidth="1" min="9" max="9"/>
    <col width="40" customWidth="1" min="10" max="10"/>
  </cols>
  <sheetData>
    <row r="1" ht="32" customHeight="1">
      <c r="A1" s="5" t="inlineStr">
        <is>
          <t>ID</t>
        </is>
      </c>
      <c r="B1" s="5" t="inlineStr">
        <is>
          <t>Meses</t>
        </is>
      </c>
      <c r="C1" s="5" t="inlineStr">
        <is>
          <t>Voz</t>
        </is>
      </c>
      <c r="D1" s="5" t="inlineStr">
        <is>
          <t>Título</t>
        </is>
      </c>
      <c r="E1" s="5" t="inlineStr">
        <is>
          <t>Escena</t>
        </is>
      </c>
      <c r="F1" s="5" t="inlineStr">
        <is>
          <t>Respuesta equilibrada</t>
        </is>
      </c>
      <c r="G1" s="5" t="inlineStr">
        <is>
          <t>¿Escena realista?</t>
        </is>
      </c>
      <c r="H1" s="5" t="inlineStr">
        <is>
          <t>¿La equilibrada es la mejor?</t>
        </is>
      </c>
      <c r="I1" s="5" t="inlineStr">
        <is>
          <t>¿Falta una opción mejor? ¿Cuál?</t>
        </is>
      </c>
      <c r="J1" s="5" t="inlineStr">
        <is>
          <t>Comentario</t>
        </is>
      </c>
    </row>
    <row r="2" ht="27" customHeight="1">
      <c r="A2" s="6" t="inlineStr">
        <is>
          <t>m01c</t>
        </is>
      </c>
      <c r="B2" s="6" t="inlineStr">
        <is>
          <t>Cualquiera</t>
        </is>
      </c>
      <c r="C2" s="6" t="inlineStr">
        <is>
          <t>CLIENTE</t>
        </is>
      </c>
      <c r="D2" s="6" t="inlineStr">
        <is>
          <t>Renovación anual</t>
        </is>
      </c>
      <c r="E2" s="6" t="inlineStr">
        <is>
          <t>La minera, 18% de tus ventas, pide 3% de rebate para renovar el contrato.</t>
        </is>
      </c>
      <c r="F2" s="6" t="inlineStr">
        <is>
          <t>Contrato a 2 años: Ofreces 1% de rebate y subes a 2% sobre el plan para que firmen 2 años.</t>
        </is>
      </c>
      <c r="G2" s="4" t="n"/>
      <c r="H2" s="4" t="n"/>
      <c r="I2" s="4" t="n"/>
      <c r="J2" s="4" t="n"/>
    </row>
    <row r="3" ht="27" customHeight="1">
      <c r="A3" s="6" t="inlineStr">
        <is>
          <t>m01p</t>
        </is>
      </c>
      <c r="B3" s="6" t="inlineStr">
        <is>
          <t>1 a 2</t>
        </is>
      </c>
      <c r="C3" s="6" t="inlineStr">
        <is>
          <t>PLANTA</t>
        </is>
      </c>
      <c r="D3" s="6" t="inlineStr">
        <is>
          <t>Inventario bajo</t>
        </is>
      </c>
      <c r="E3" s="6" t="inlineStr">
        <is>
          <t>Quedan 3 semanas de insumos clave y en enero entran pedidos grandes.</t>
        </is>
      </c>
      <c r="F3" s="6" t="inlineStr">
        <is>
          <t>Compra escalonada: Compras en 2 lotes, el segundo a 20 días, y avisas qué pedidos son firmes.</t>
        </is>
      </c>
      <c r="G3" s="4" t="n"/>
      <c r="H3" s="4" t="n"/>
      <c r="I3" s="4" t="n"/>
      <c r="J3" s="4" t="n"/>
    </row>
    <row r="4" ht="27" customHeight="1">
      <c r="A4" s="6" t="inlineStr">
        <is>
          <t>m01e</t>
        </is>
      </c>
      <c r="B4" s="6" t="inlineStr">
        <is>
          <t>1 a 4</t>
        </is>
      </c>
      <c r="C4" s="6" t="inlineStr">
        <is>
          <t>ENTORNO</t>
        </is>
      </c>
      <c r="D4" s="6" t="inlineStr">
        <is>
          <t>Presupuesto y dólar</t>
        </is>
      </c>
      <c r="E4" s="6" t="inlineStr">
        <is>
          <t>El dólar está 7% sobre el presupuesto y 40% de tus insumos son importados.</t>
        </is>
      </c>
      <c r="F4" s="6" t="inlineStr">
        <is>
          <t>Reajuste por dólar: Pactas por escrito un reajuste según el dólar y compras a plazo la mitad.</t>
        </is>
      </c>
      <c r="G4" s="4" t="n"/>
      <c r="H4" s="4" t="n"/>
      <c r="I4" s="4" t="n"/>
      <c r="J4" s="4" t="n"/>
    </row>
    <row r="5" ht="27" customHeight="1">
      <c r="A5" s="6" t="inlineStr">
        <is>
          <t>m01s</t>
        </is>
      </c>
      <c r="B5" s="6" t="inlineStr">
        <is>
          <t>1 a 3</t>
        </is>
      </c>
      <c r="C5" s="6" t="inlineStr">
        <is>
          <t>ESTRATEGIA</t>
        </is>
      </c>
      <c r="D5" s="6" t="inlineStr">
        <is>
          <t>Medir o empujar</t>
        </is>
      </c>
      <c r="E5" s="6" t="inlineStr">
        <is>
          <t>Corporativo pide 6% más de volumen; el ahorro de tus clientes sigue sin medir.</t>
        </is>
      </c>
      <c r="F5" s="6" t="inlineStr">
        <is>
          <t>Medir el ahorro: Documentas el ahorro del agua de 3 clientes y negocias después con datos.</t>
        </is>
      </c>
      <c r="G5" s="4" t="n"/>
      <c r="H5" s="4" t="n"/>
      <c r="I5" s="4" t="n"/>
      <c r="J5" s="4" t="n"/>
    </row>
    <row r="6" ht="27" customHeight="1">
      <c r="A6" s="6" t="inlineStr">
        <is>
          <t>m02c</t>
        </is>
      </c>
      <c r="B6" s="6" t="inlineStr">
        <is>
          <t>Cualquiera</t>
        </is>
      </c>
      <c r="C6" s="6" t="inlineStr">
        <is>
          <t>CLIENTE</t>
        </is>
      </c>
      <c r="D6" s="6" t="inlineStr">
        <is>
          <t>Cambio de especificación</t>
        </is>
      </c>
      <c r="E6" s="6" t="inlineStr">
        <is>
          <t>Un cliente, 12% de tus ventas, pide otra especificación con 2 semanas de aviso.</t>
        </is>
      </c>
      <c r="F6" s="6" t="inlineStr">
        <is>
          <t>Prueba corta: Haces una prueba de 3 días y pides al cliente acordar una fecha realista.</t>
        </is>
      </c>
      <c r="G6" s="4" t="n"/>
      <c r="H6" s="4" t="n"/>
      <c r="I6" s="4" t="n"/>
      <c r="J6" s="4" t="n"/>
    </row>
    <row r="7" ht="27" customHeight="1">
      <c r="A7" s="6" t="inlineStr">
        <is>
          <t>m02p</t>
        </is>
      </c>
      <c r="B7" s="6" t="inlineStr">
        <is>
          <t>Cualquiera</t>
        </is>
      </c>
      <c r="C7" s="6" t="inlineStr">
        <is>
          <t>PLANTA</t>
        </is>
      </c>
      <c r="D7" s="6" t="inlineStr">
        <is>
          <t>Mantención vs pedidos</t>
        </is>
      </c>
      <c r="E7" s="6" t="inlineStr">
        <is>
          <t>Toca la mantención mayor, con 4 días de línea parada, y hay pedidos urgentes.</t>
        </is>
      </c>
      <c r="F7" s="6" t="inlineStr">
        <is>
          <t>Mantención parcial: Paras media línea en turnos, con 2 semanas de plazo, y repartes lo urgente.</t>
        </is>
      </c>
      <c r="G7" s="4" t="n"/>
      <c r="H7" s="4" t="n"/>
      <c r="I7" s="4" t="n"/>
      <c r="J7" s="4" t="n"/>
    </row>
    <row r="8" ht="27" customHeight="1">
      <c r="A8" s="6" t="inlineStr">
        <is>
          <t>m02e</t>
        </is>
      </c>
      <c r="B8" s="6" t="inlineStr">
        <is>
          <t>1 a 3</t>
        </is>
      </c>
      <c r="C8" s="6" t="inlineStr">
        <is>
          <t>ENTORNO</t>
        </is>
      </c>
      <c r="D8" s="6" t="inlineStr">
        <is>
          <t>Lluvias altiplánicas</t>
        </is>
      </c>
      <c r="E8" s="6" t="inlineStr">
        <is>
          <t>Las lluvias cortan el camino a la faena: hay 14 despachos pendientes.</t>
        </is>
      </c>
      <c r="F8" s="6" t="inlineStr">
        <is>
          <t>Ruta alterna: Tomas la ruta sur, 120 km más larga, y priorizas lo crítico.</t>
        </is>
      </c>
      <c r="G8" s="4" t="n"/>
      <c r="H8" s="4" t="n"/>
      <c r="I8" s="4" t="n"/>
      <c r="J8" s="4" t="n"/>
    </row>
    <row r="9" ht="27" customHeight="1">
      <c r="A9" s="6" t="inlineStr">
        <is>
          <t>m02s</t>
        </is>
      </c>
      <c r="B9" s="6" t="inlineStr">
        <is>
          <t>Cualquiera</t>
        </is>
      </c>
      <c r="C9" s="6" t="inlineStr">
        <is>
          <t>ESTRATEGIA</t>
        </is>
      </c>
      <c r="D9" s="6" t="inlineStr">
        <is>
          <t>Pronóstico agresivo</t>
        </is>
      </c>
      <c r="E9" s="6" t="inlineStr">
        <is>
          <t>Corporativo pide subir 8% el pronóstico del año para la reunión del lunes.</t>
        </is>
      </c>
      <c r="F9" s="6" t="inlineStr">
        <is>
          <t>Pronóstico en rango: Entregas un caso base y otro optimista de +8%, ambos explicados.</t>
        </is>
      </c>
      <c r="G9" s="4" t="n"/>
      <c r="H9" s="4" t="n"/>
      <c r="I9" s="4" t="n"/>
      <c r="J9" s="4" t="n"/>
    </row>
    <row r="10" ht="27" customHeight="1">
      <c r="A10" s="6" t="inlineStr">
        <is>
          <t>m03c</t>
        </is>
      </c>
      <c r="B10" s="6" t="inlineStr">
        <is>
          <t>Cualquiera</t>
        </is>
      </c>
      <c r="C10" s="6" t="inlineStr">
        <is>
          <t>CLIENTE</t>
        </is>
      </c>
      <c r="D10" s="6" t="inlineStr">
        <is>
          <t>Lote fuera de norma</t>
        </is>
      </c>
      <c r="E10" s="6" t="inlineStr">
        <is>
          <t>Un cliente reclama 40 toneladas que salieron fuera de especificación.</t>
        </is>
      </c>
      <c r="F10" s="6" t="inlineStr">
        <is>
          <t>Reponer el lote: Repones hoy las 40 toneladas y compartes el análisis para evitar otro reclamo.</t>
        </is>
      </c>
      <c r="G10" s="4" t="n"/>
      <c r="H10" s="4" t="n"/>
      <c r="I10" s="4" t="n"/>
      <c r="J10" s="4" t="n"/>
    </row>
    <row r="11" ht="27" customHeight="1">
      <c r="A11" s="6" t="inlineStr">
        <is>
          <t>m03p</t>
        </is>
      </c>
      <c r="B11" s="6" t="inlineStr">
        <is>
          <t>Cualquiera</t>
        </is>
      </c>
      <c r="C11" s="6" t="inlineStr">
        <is>
          <t>PLANTA</t>
        </is>
      </c>
      <c r="D11" s="6" t="inlineStr">
        <is>
          <t>Falla y materia prima</t>
        </is>
      </c>
      <c r="E11" s="6" t="inlineStr">
        <is>
          <t>Falla una bomba de la línea 2 y quedan 5 días de una materia prima clave.</t>
        </is>
      </c>
      <c r="F11" s="6" t="inlineStr">
        <is>
          <t>Priorizar pedidos: Priorizas los críticos con lo que queda y compras la bomba a un local.</t>
        </is>
      </c>
      <c r="G11" s="4" t="n"/>
      <c r="H11" s="4" t="n"/>
      <c r="I11" s="4" t="n"/>
      <c r="J11" s="4" t="n"/>
    </row>
    <row r="12" ht="27" customHeight="1">
      <c r="A12" s="6" t="inlineStr">
        <is>
          <t>m03e</t>
        </is>
      </c>
      <c r="B12" s="6" t="inlineStr">
        <is>
          <t>Cualquiera</t>
        </is>
      </c>
      <c r="C12" s="6" t="inlineStr">
        <is>
          <t>ENTORNO</t>
        </is>
      </c>
      <c r="D12" s="6" t="inlineStr">
        <is>
          <t>Reforma tributaria</t>
        </is>
      </c>
      <c r="E12" s="6" t="inlineStr">
        <is>
          <t>Se anuncia una reforma tributaria minera y 3 clientes grandes frenan compras.</t>
        </is>
      </c>
      <c r="F12" s="6" t="inlineStr">
        <is>
          <t>Ver escenarios: Conversas por cliente sus escenarios y ofreces descuento solo a pedidos firmes.</t>
        </is>
      </c>
      <c r="G12" s="4" t="n"/>
      <c r="H12" s="4" t="n"/>
      <c r="I12" s="4" t="n"/>
      <c r="J12" s="4" t="n"/>
    </row>
    <row r="13" ht="27" customHeight="1">
      <c r="A13" s="6" t="inlineStr">
        <is>
          <t>m03s</t>
        </is>
      </c>
      <c r="B13" s="6" t="inlineStr">
        <is>
          <t>Cualquiera</t>
        </is>
      </c>
      <c r="C13" s="6" t="inlineStr">
        <is>
          <t>ESTRATEGIA</t>
        </is>
      </c>
      <c r="D13" s="6" t="inlineStr">
        <is>
          <t>Producto de agua</t>
        </is>
      </c>
      <c r="E13" s="6" t="inlineStr">
        <is>
          <t>Una oportunidad: un programa de ahorro de agua que 5 mineras preguntaron.</t>
        </is>
      </c>
      <c r="F13" s="6" t="inlineStr">
        <is>
          <t>Piloto acotado: Lo pruebas 3 meses en un cliente amigo y mides el efecto antes de escalar.</t>
        </is>
      </c>
      <c r="G13" s="4" t="n"/>
      <c r="H13" s="4" t="n"/>
      <c r="I13" s="4" t="n"/>
      <c r="J13" s="4" t="n"/>
    </row>
    <row r="14" ht="27" customHeight="1">
      <c r="A14" s="6" t="inlineStr">
        <is>
          <t>m04c</t>
        </is>
      </c>
      <c r="B14" s="6" t="inlineStr">
        <is>
          <t>Cualquiera</t>
        </is>
      </c>
      <c r="C14" s="6" t="inlineStr">
        <is>
          <t>CLIENTE</t>
        </is>
      </c>
      <c r="D14" s="6" t="inlineStr">
        <is>
          <t>Recorte de presupuesto</t>
        </is>
      </c>
      <c r="E14" s="6" t="inlineStr">
        <is>
          <t>Un cliente recorta 10% su presupuesto de insumos y pide bajar los precios.</t>
        </is>
      </c>
      <c r="F14" s="6" t="inlineStr">
        <is>
          <t>Bajar su consumo: Ajustas la dosis para que gaste 10% menos; tú mantienes los precios.</t>
        </is>
      </c>
      <c r="G14" s="4" t="n"/>
      <c r="H14" s="4" t="n"/>
      <c r="I14" s="4" t="n"/>
      <c r="J14" s="4" t="n"/>
    </row>
    <row r="15" ht="27" customHeight="1">
      <c r="A15" s="6" t="inlineStr">
        <is>
          <t>m04p</t>
        </is>
      </c>
      <c r="B15" s="6" t="inlineStr">
        <is>
          <t>Cualquiera</t>
        </is>
      </c>
      <c r="C15" s="6" t="inlineStr">
        <is>
          <t>PLANTA</t>
        </is>
      </c>
      <c r="D15" s="6" t="inlineStr">
        <is>
          <t>Rotación de operadores</t>
        </is>
      </c>
      <c r="E15" s="6" t="inlineStr">
        <is>
          <t>Se van 2 de 9 operadores clave y los turnos quedan incompletos.</t>
        </is>
      </c>
      <c r="F15" s="6" t="inlineStr">
        <is>
          <t>Plan de relevo: Capacitas a dos jóvenes con 6 semanas de práctica y reorganizas los turnos.</t>
        </is>
      </c>
      <c r="G15" s="4" t="n"/>
      <c r="H15" s="4" t="n"/>
      <c r="I15" s="4" t="n"/>
      <c r="J15" s="4" t="n"/>
    </row>
    <row r="16" ht="27" customHeight="1">
      <c r="A16" s="6" t="inlineStr">
        <is>
          <t>m04e</t>
        </is>
      </c>
      <c r="B16" s="6" t="inlineStr">
        <is>
          <t>Cualquiera</t>
        </is>
      </c>
      <c r="C16" s="6" t="inlineStr">
        <is>
          <t>ENTORNO</t>
        </is>
      </c>
      <c r="D16" s="6" t="inlineStr">
        <is>
          <t>Royalty minero</t>
        </is>
      </c>
      <c r="E16" s="6" t="inlineStr">
        <is>
          <t>Sube el royalty minero y los clientes revisan todos sus contratos de insumos.</t>
        </is>
      </c>
      <c r="F16" s="6" t="inlineStr">
        <is>
          <t>Contratos por valor: Propones contratos atados al ahorro que generas, no solo al volumen.</t>
        </is>
      </c>
      <c r="G16" s="4" t="n"/>
      <c r="H16" s="4" t="n"/>
      <c r="I16" s="4" t="n"/>
      <c r="J16" s="4" t="n"/>
    </row>
    <row r="17" ht="27" customHeight="1">
      <c r="A17" s="6" t="inlineStr">
        <is>
          <t>m04s</t>
        </is>
      </c>
      <c r="B17" s="6" t="inlineStr">
        <is>
          <t>Cualquiera</t>
        </is>
      </c>
      <c r="C17" s="6" t="inlineStr">
        <is>
          <t>ESTRATEGIA</t>
        </is>
      </c>
      <c r="D17" s="6" t="inlineStr">
        <is>
          <t>Recorte de SG&amp;A</t>
        </is>
      </c>
      <c r="E17" s="6" t="inlineStr">
        <is>
          <t>Corporativo pide bajar 5% el SG&amp;A desde el próximo mes.</t>
        </is>
      </c>
      <c r="F17" s="6" t="inlineStr">
        <is>
          <t>Recorte selectivo: Recortas viajes y consultorías y proteges visitas a clientes y medición.</t>
        </is>
      </c>
      <c r="G17" s="4" t="n"/>
      <c r="H17" s="4" t="n"/>
      <c r="I17" s="4" t="n"/>
      <c r="J17" s="4" t="n"/>
    </row>
    <row r="18" ht="27" customHeight="1">
      <c r="A18" s="6" t="inlineStr">
        <is>
          <t>m05c</t>
        </is>
      </c>
      <c r="B18" s="6" t="inlineStr">
        <is>
          <t>Cualquiera</t>
        </is>
      </c>
      <c r="C18" s="6" t="inlineStr">
        <is>
          <t>CLIENTE</t>
        </is>
      </c>
      <c r="D18" s="6" t="inlineStr">
        <is>
          <t>Visitas sin costo</t>
        </is>
      </c>
      <c r="E18" s="6" t="inlineStr">
        <is>
          <t>Un cliente (9% de tus ventas) pide visitas semanales sin pagar más.</t>
        </is>
      </c>
      <c r="F18" s="6" t="inlineStr">
        <is>
          <t>Visitas por demanda: Ofreces monitoreo remoto para que se visite solo si el dato lo pide.</t>
        </is>
      </c>
      <c r="G18" s="4" t="n"/>
      <c r="H18" s="4" t="n"/>
      <c r="I18" s="4" t="n"/>
      <c r="J18" s="4" t="n"/>
    </row>
    <row r="19" ht="27" customHeight="1">
      <c r="A19" s="6" t="inlineStr">
        <is>
          <t>m05p</t>
        </is>
      </c>
      <c r="B19" s="6" t="inlineStr">
        <is>
          <t>Cualquiera</t>
        </is>
      </c>
      <c r="C19" s="6" t="inlineStr">
        <is>
          <t>PLANTA</t>
        </is>
      </c>
      <c r="D19" s="6" t="inlineStr">
        <is>
          <t>Incidente de seguridad</t>
        </is>
      </c>
      <c r="E19" s="6" t="inlineStr">
        <is>
          <t>Hay un incidente sin heridos en la planta y en 10 días llega una auditoría.</t>
        </is>
      </c>
      <c r="F19" s="6" t="inlineStr">
        <is>
          <t>Investigar causa: Detienes la zona 2 días con el equipo y corriges el procedimiento.</t>
        </is>
      </c>
      <c r="G19" s="4" t="n"/>
      <c r="H19" s="4" t="n"/>
      <c r="I19" s="4" t="n"/>
      <c r="J19" s="4" t="n"/>
    </row>
    <row r="20" ht="27" customHeight="1">
      <c r="A20" s="6" t="inlineStr">
        <is>
          <t>m05e</t>
        </is>
      </c>
      <c r="B20" s="6" t="inlineStr">
        <is>
          <t>Cualquiera</t>
        </is>
      </c>
      <c r="C20" s="6" t="inlineStr">
        <is>
          <t>ENTORNO</t>
        </is>
      </c>
      <c r="D20" s="6" t="inlineStr">
        <is>
          <t>Cae el cobre</t>
        </is>
      </c>
      <c r="E20" s="6" t="inlineStr">
        <is>
          <t>El cobre baja 15% y las mineras congelan las compras no esenciales.</t>
        </is>
      </c>
      <c r="F20" s="6" t="inlineStr">
        <is>
          <t>Rebate por volumen: Pactas un rebate de 1% por los volúmenes sobre su compra mínima.</t>
        </is>
      </c>
      <c r="G20" s="4" t="n"/>
      <c r="H20" s="4" t="n"/>
      <c r="I20" s="4" t="n"/>
      <c r="J20" s="4" t="n"/>
    </row>
    <row r="21" ht="27" customHeight="1">
      <c r="A21" s="6" t="inlineStr">
        <is>
          <t>m05s</t>
        </is>
      </c>
      <c r="B21" s="6" t="inlineStr">
        <is>
          <t>Cualquiera</t>
        </is>
      </c>
      <c r="C21" s="6" t="inlineStr">
        <is>
          <t>ESTRATEGIA</t>
        </is>
      </c>
      <c r="D21" s="6" t="inlineStr">
        <is>
          <t>Monitoreo remoto</t>
        </is>
      </c>
      <c r="E21" s="6" t="inlineStr">
        <is>
          <t>Puedes invertir en monitoreo remoto para 6 faenas con visitas mensuales.</t>
        </is>
      </c>
      <c r="F21" s="6" t="inlineStr">
        <is>
          <t>Invertir por etapas: Instalas en 2 faenas mayores y calculas el ahorro en visitas por 6 meses.</t>
        </is>
      </c>
      <c r="G21" s="4" t="n"/>
      <c r="H21" s="4" t="n"/>
      <c r="I21" s="4" t="n"/>
      <c r="J21" s="4" t="n"/>
    </row>
    <row r="22" ht="27" customHeight="1">
      <c r="A22" s="6" t="inlineStr">
        <is>
          <t>m06c</t>
        </is>
      </c>
      <c r="B22" s="6" t="inlineStr">
        <is>
          <t>Cualquiera</t>
        </is>
      </c>
      <c r="C22" s="6" t="inlineStr">
        <is>
          <t>CLIENTE</t>
        </is>
      </c>
      <c r="D22" s="6" t="inlineStr">
        <is>
          <t>Competidor 8% menor</t>
        </is>
      </c>
      <c r="E22" s="6" t="inlineStr">
        <is>
          <t>Un competidor ofrece 8% menos y amenaza un contrato de 14% de ventas.</t>
        </is>
      </c>
      <c r="F22" s="6" t="inlineStr">
        <is>
          <t>Mostrar el ahorro: Presentas el ahorro medido y sostienes el precio con un rebate a 2 años.</t>
        </is>
      </c>
      <c r="G22" s="4" t="n"/>
      <c r="H22" s="4" t="n"/>
      <c r="I22" s="4" t="n"/>
      <c r="J22" s="4" t="n"/>
    </row>
    <row r="23" ht="27" customHeight="1">
      <c r="A23" s="6" t="inlineStr">
        <is>
          <t>m06p</t>
        </is>
      </c>
      <c r="B23" s="6" t="inlineStr">
        <is>
          <t>Cualquiera</t>
        </is>
      </c>
      <c r="C23" s="6" t="inlineStr">
        <is>
          <t>PLANTA</t>
        </is>
      </c>
      <c r="D23" s="6" t="inlineStr">
        <is>
          <t>Deriva de calidad</t>
        </is>
      </c>
      <c r="E23" s="6" t="inlineStr">
        <is>
          <t>Esta semana 4 lotes de 10 salen al límite de la especificación.</t>
        </is>
      </c>
      <c r="F23" s="6" t="inlineStr">
        <is>
          <t>Ajustar el proceso: Ajustas el proceso con calidad y refuerzas los controles del lote.</t>
        </is>
      </c>
      <c r="G23" s="4" t="n"/>
      <c r="H23" s="4" t="n"/>
      <c r="I23" s="4" t="n"/>
      <c r="J23" s="4" t="n"/>
    </row>
    <row r="24" ht="27" customHeight="1">
      <c r="A24" s="6" t="inlineStr">
        <is>
          <t>m06e</t>
        </is>
      </c>
      <c r="B24" s="6" t="inlineStr">
        <is>
          <t>Cualquiera</t>
        </is>
      </c>
      <c r="C24" s="6" t="inlineStr">
        <is>
          <t>ENTORNO</t>
        </is>
      </c>
      <c r="D24" s="6" t="inlineStr">
        <is>
          <t>Norma de agua</t>
        </is>
      </c>
      <c r="E24" s="6" t="inlineStr">
        <is>
          <t>Una norma ambiental limita 20% el uso de agua en las faenas.</t>
        </is>
      </c>
      <c r="F24" s="6" t="inlineStr">
        <is>
          <t>Programa de reuso: Propones un programa de reuso de agua con pago por m3 ahorrado.</t>
        </is>
      </c>
      <c r="G24" s="4" t="n"/>
      <c r="H24" s="4" t="n"/>
      <c r="I24" s="4" t="n"/>
      <c r="J24" s="4" t="n"/>
    </row>
    <row r="25" ht="27" customHeight="1">
      <c r="A25" s="6" t="inlineStr">
        <is>
          <t>m06s</t>
        </is>
      </c>
      <c r="B25" s="6" t="inlineStr">
        <is>
          <t>Cualquiera</t>
        </is>
      </c>
      <c r="C25" s="6" t="inlineStr">
        <is>
          <t>ESTRATEGIA</t>
        </is>
      </c>
      <c r="D25" s="6" t="inlineStr">
        <is>
          <t>Nuevo país</t>
        </is>
      </c>
      <c r="E25" s="6" t="inlineStr">
        <is>
          <t>Un cliente grande de otro país pide cotización en 30 días.</t>
        </is>
      </c>
      <c r="F25" s="6" t="inlineStr">
        <is>
          <t>Entrar con socio: Eliges un distribuidor local y limitas la inversión del primer año.</t>
        </is>
      </c>
      <c r="G25" s="4" t="n"/>
      <c r="H25" s="4" t="n"/>
      <c r="I25" s="4" t="n"/>
      <c r="J25" s="4" t="n"/>
    </row>
    <row r="26" ht="27" customHeight="1">
      <c r="A26" s="6" t="inlineStr">
        <is>
          <t>m07c</t>
        </is>
      </c>
      <c r="B26" s="6" t="inlineStr">
        <is>
          <t>Cualquiera</t>
        </is>
      </c>
      <c r="C26" s="6" t="inlineStr">
        <is>
          <t>CLIENTE</t>
        </is>
      </c>
      <c r="D26" s="6" t="inlineStr">
        <is>
          <t>Auditoría de costos</t>
        </is>
      </c>
      <c r="E26" s="6" t="inlineStr">
        <is>
          <t>Un cliente (11% de tus ventas) pide auditar tus costos y tu margen.</t>
        </is>
      </c>
      <c r="F26" s="6" t="inlineStr">
        <is>
          <t>Abrir con reglas: Aceptas auditar y muestras flete y Direct Chg para acordar cómo comparar.</t>
        </is>
      </c>
      <c r="G26" s="4" t="n"/>
      <c r="H26" s="4" t="n"/>
      <c r="I26" s="4" t="n"/>
      <c r="J26" s="4" t="n"/>
    </row>
    <row r="27" ht="27" customHeight="1">
      <c r="A27" s="6" t="inlineStr">
        <is>
          <t>m07p</t>
        </is>
      </c>
      <c r="B27" s="6" t="inlineStr">
        <is>
          <t>Cualquiera</t>
        </is>
      </c>
      <c r="C27" s="6" t="inlineStr">
        <is>
          <t>PLANTA</t>
        </is>
      </c>
      <c r="D27" s="6" t="inlineStr">
        <is>
          <t>Proveedor atrasado</t>
        </is>
      </c>
      <c r="E27" s="6" t="inlineStr">
        <is>
          <t>Tu único proveedor se atrasa 3 semanas con un insumo que pesa 30% del costo.</t>
        </is>
      </c>
      <c r="F27" s="6" t="inlineStr">
        <is>
          <t>Segundo proveedor: Calificas un segundo proveedor con 2 pruebas y cubres el hueco con stock.</t>
        </is>
      </c>
      <c r="G27" s="4" t="n"/>
      <c r="H27" s="4" t="n"/>
      <c r="I27" s="4" t="n"/>
      <c r="J27" s="4" t="n"/>
    </row>
    <row r="28" ht="27" customHeight="1">
      <c r="A28" s="6" t="inlineStr">
        <is>
          <t>m07e</t>
        </is>
      </c>
      <c r="B28" s="6" t="inlineStr">
        <is>
          <t>6 a 8</t>
        </is>
      </c>
      <c r="C28" s="6" t="inlineStr">
        <is>
          <t>ENTORNO</t>
        </is>
      </c>
      <c r="D28" s="6" t="inlineStr">
        <is>
          <t>Temporal de nieve</t>
        </is>
      </c>
      <c r="E28" s="6" t="inlineStr">
        <is>
          <t>Un temporal de nieve cierra el paso a las faenas por 7 días.</t>
        </is>
      </c>
      <c r="F28" s="6" t="inlineStr">
        <is>
          <t>Stock en la faena: Adelantas stock a la bodega del cliente por 10 días y reprogramas despachos.</t>
        </is>
      </c>
      <c r="G28" s="4" t="n"/>
      <c r="H28" s="4" t="n"/>
      <c r="I28" s="4" t="n"/>
      <c r="J28" s="4" t="n"/>
    </row>
    <row r="29" ht="27" customHeight="1">
      <c r="A29" s="6" t="inlineStr">
        <is>
          <t>m07s</t>
        </is>
      </c>
      <c r="B29" s="6" t="inlineStr">
        <is>
          <t>Cualquiera</t>
        </is>
      </c>
      <c r="C29" s="6" t="inlineStr">
        <is>
          <t>ESTRATEGIA</t>
        </is>
      </c>
      <c r="D29" s="6" t="inlineStr">
        <is>
          <t>Reorganización</t>
        </is>
      </c>
      <c r="E29" s="6" t="inlineStr">
        <is>
          <t>Corporativo propone reorganizar el equipo y bajar 10% la dotación.</t>
        </is>
      </c>
      <c r="F29" s="6" t="inlineStr">
        <is>
          <t>Rediseñar roles: Reasignas funciones y automatizas los procesos antes de bajar 4 cargos.</t>
        </is>
      </c>
      <c r="G29" s="4" t="n"/>
      <c r="H29" s="4" t="n"/>
      <c r="I29" s="4" t="n"/>
      <c r="J29" s="4" t="n"/>
    </row>
    <row r="30" ht="27" customHeight="1">
      <c r="A30" s="6" t="inlineStr">
        <is>
          <t>m08c</t>
        </is>
      </c>
      <c r="B30" s="6" t="inlineStr">
        <is>
          <t>Cualquiera</t>
        </is>
      </c>
      <c r="C30" s="6" t="inlineStr">
        <is>
          <t>CLIENTE</t>
        </is>
      </c>
      <c r="D30" s="6" t="inlineStr">
        <is>
          <t>Nuevo comprador</t>
        </is>
      </c>
      <c r="E30" s="6" t="inlineStr">
        <is>
          <t>El nuevo jefe de compras de un cliente (16% de ventas) quiere licitar.</t>
        </is>
      </c>
      <c r="F30" s="6" t="inlineStr">
        <is>
          <t>Reunión de valor: Presentas resultados medidos para proponer un rebate escalonado a 2 años.</t>
        </is>
      </c>
      <c r="G30" s="4" t="n"/>
      <c r="H30" s="4" t="n"/>
      <c r="I30" s="4" t="n"/>
      <c r="J30" s="4" t="n"/>
    </row>
    <row r="31" ht="27" customHeight="1">
      <c r="A31" s="6" t="inlineStr">
        <is>
          <t>m08p</t>
        </is>
      </c>
      <c r="B31" s="6" t="inlineStr">
        <is>
          <t>Cualquiera</t>
        </is>
      </c>
      <c r="C31" s="6" t="inlineStr">
        <is>
          <t>PLANTA</t>
        </is>
      </c>
      <c r="D31" s="6" t="inlineStr">
        <is>
          <t>Capacidad al límite</t>
        </is>
      </c>
      <c r="E31" s="6" t="inlineStr">
        <is>
          <t>La demanda supera 12% la capacidad de la planta por 3 meses.</t>
        </is>
      </c>
      <c r="F31" s="6" t="inlineStr">
        <is>
          <t>Turno adicional: Agregas un turno planificado y mantienes la prioridad por margen en producción.</t>
        </is>
      </c>
      <c r="G31" s="4" t="n"/>
      <c r="H31" s="4" t="n"/>
      <c r="I31" s="4" t="n"/>
      <c r="J31" s="4" t="n"/>
    </row>
    <row r="32" ht="27" customHeight="1">
      <c r="A32" s="6" t="inlineStr">
        <is>
          <t>m08e</t>
        </is>
      </c>
      <c r="B32" s="6" t="inlineStr">
        <is>
          <t>Cualquiera</t>
        </is>
      </c>
      <c r="C32" s="6" t="inlineStr">
        <is>
          <t>ENTORNO</t>
        </is>
      </c>
      <c r="D32" s="6" t="inlineStr">
        <is>
          <t>Sube el dólar</t>
        </is>
      </c>
      <c r="E32" s="6" t="inlineStr">
        <is>
          <t>El dólar sube 10% y tu costo de insumos importados también.</t>
        </is>
      </c>
      <c r="F32" s="6" t="inlineStr">
        <is>
          <t>Traspaso gradual: Subes por etapas la mitad del alza en los precios con aviso de 30 días.</t>
        </is>
      </c>
      <c r="G32" s="4" t="n"/>
      <c r="H32" s="4" t="n"/>
      <c r="I32" s="4" t="n"/>
      <c r="J32" s="4" t="n"/>
    </row>
    <row r="33" ht="27" customHeight="1">
      <c r="A33" s="6" t="inlineStr">
        <is>
          <t>m08s</t>
        </is>
      </c>
      <c r="B33" s="6" t="inlineStr">
        <is>
          <t>Cualquiera</t>
        </is>
      </c>
      <c r="C33" s="6" t="inlineStr">
        <is>
          <t>ESTRATEGIA</t>
        </is>
      </c>
      <c r="D33" s="6" t="inlineStr">
        <is>
          <t>Alianza con distribuidor</t>
        </is>
      </c>
      <c r="E33" s="6" t="inlineStr">
        <is>
          <t>Un distribuidor atendería a tus clientes pequeños por 8% de comisión.</t>
        </is>
      </c>
      <c r="F33" s="6" t="inlineStr">
        <is>
          <t>Piloto de 6 meses: Pruebas con 10 clientes pequeños y comparas el servicio y el margen.</t>
        </is>
      </c>
      <c r="G33" s="4" t="n"/>
      <c r="H33" s="4" t="n"/>
      <c r="I33" s="4" t="n"/>
      <c r="J33" s="4" t="n"/>
    </row>
    <row r="34" ht="27" customHeight="1">
      <c r="A34" s="6" t="inlineStr">
        <is>
          <t>m09c</t>
        </is>
      </c>
      <c r="B34" s="6" t="inlineStr">
        <is>
          <t>Cualquiera</t>
        </is>
      </c>
      <c r="C34" s="6" t="inlineStr">
        <is>
          <t>CLIENTE</t>
        </is>
      </c>
      <c r="D34" s="6" t="inlineStr">
        <is>
          <t>Volumen por precio</t>
        </is>
      </c>
      <c r="E34" s="6" t="inlineStr">
        <is>
          <t>Un cliente (13% de tus ventas) promete 20% más volumen si le bajas 5%.</t>
        </is>
      </c>
      <c r="F34" s="6" t="inlineStr">
        <is>
          <t>Descuento por tramo: Rebajas 5% en los embarques nuevos y revisas el resultado a los 3 meses.</t>
        </is>
      </c>
      <c r="G34" s="4" t="n"/>
      <c r="H34" s="4" t="n"/>
      <c r="I34" s="4" t="n"/>
      <c r="J34" s="4" t="n"/>
    </row>
    <row r="35" ht="27" customHeight="1">
      <c r="A35" s="6" t="inlineStr">
        <is>
          <t>m09p</t>
        </is>
      </c>
      <c r="B35" s="6" t="inlineStr">
        <is>
          <t>Cualquiera</t>
        </is>
      </c>
      <c r="C35" s="6" t="inlineStr">
        <is>
          <t>PLANTA</t>
        </is>
      </c>
      <c r="D35" s="6" t="inlineStr">
        <is>
          <t>Energía en horario punta</t>
        </is>
      </c>
      <c r="E35" s="6" t="inlineStr">
        <is>
          <t>La tarifa eléctrica sube 12% en horario punta, donde la planta gasta 40%.</t>
        </is>
      </c>
      <c r="F35" s="6" t="inlineStr">
        <is>
          <t>Mover la carga: Pasas 2 líneas de la planta al turno de noche y mantienes los pedidos.</t>
        </is>
      </c>
      <c r="G35" s="4" t="n"/>
      <c r="H35" s="4" t="n"/>
      <c r="I35" s="4" t="n"/>
      <c r="J35" s="4" t="n"/>
    </row>
    <row r="36" ht="27" customHeight="1">
      <c r="A36" s="6" t="inlineStr">
        <is>
          <t>m09e</t>
        </is>
      </c>
      <c r="B36" s="6" t="inlineStr">
        <is>
          <t>Cualquiera</t>
        </is>
      </c>
      <c r="C36" s="6" t="inlineStr">
        <is>
          <t>ENTORNO</t>
        </is>
      </c>
      <c r="D36" s="6" t="inlineStr">
        <is>
          <t>Elecciones</t>
        </is>
      </c>
      <c r="E36" s="6" t="inlineStr">
        <is>
          <t>Vienen elecciones y 4 clientes frenan pedidos por la incertidumbre.</t>
        </is>
      </c>
      <c r="F36" s="6" t="inlineStr">
        <is>
          <t>Contrato puente: Firmas contratos de 6 meses a precio fijo, con opción de ampliar a 12.</t>
        </is>
      </c>
      <c r="G36" s="4" t="n"/>
      <c r="H36" s="4" t="n"/>
      <c r="I36" s="4" t="n"/>
      <c r="J36" s="4" t="n"/>
    </row>
    <row r="37" ht="27" customHeight="1">
      <c r="A37" s="6" t="inlineStr">
        <is>
          <t>m09s</t>
        </is>
      </c>
      <c r="B37" s="6" t="inlineStr">
        <is>
          <t>Cualquiera</t>
        </is>
      </c>
      <c r="C37" s="6" t="inlineStr">
        <is>
          <t>ESTRATEGIA</t>
        </is>
      </c>
      <c r="D37" s="6" t="inlineStr">
        <is>
          <t>Contrato del proveedor</t>
        </is>
      </c>
      <c r="E37" s="6" t="inlineStr">
        <is>
          <t>Tu proveedor clave (32% del costo) ofrece 6% menos por 3 años de contrato.</t>
        </is>
      </c>
      <c r="F37" s="6" t="inlineStr">
        <is>
          <t>Contrato con salida: Firmas 36 meses con una cláusula de salida al mes 18 y precio indexado.</t>
        </is>
      </c>
      <c r="G37" s="4" t="n"/>
      <c r="H37" s="4" t="n"/>
      <c r="I37" s="4" t="n"/>
      <c r="J37" s="4" t="n"/>
    </row>
    <row r="38" ht="27" customHeight="1">
      <c r="A38" s="6" t="inlineStr">
        <is>
          <t>m10c</t>
        </is>
      </c>
      <c r="B38" s="6" t="inlineStr">
        <is>
          <t>Cualquiera</t>
        </is>
      </c>
      <c r="C38" s="6" t="inlineStr">
        <is>
          <t>CLIENTE</t>
        </is>
      </c>
      <c r="D38" s="6" t="inlineStr">
        <is>
          <t>Equipos en comodato</t>
        </is>
      </c>
      <c r="E38" s="6" t="inlineStr">
        <is>
          <t>Un cliente pide 3 dosificadores en comodato para sus faenas nuevas.</t>
        </is>
      </c>
      <c r="F38" s="6" t="inlineStr">
        <is>
          <t>Comodato con mínimo: Entregas los equipos si compra un mínimo anual y paga el mantenimiento.</t>
        </is>
      </c>
      <c r="G38" s="4" t="n"/>
      <c r="H38" s="4" t="n"/>
      <c r="I38" s="4" t="n"/>
      <c r="J38" s="4" t="n"/>
    </row>
    <row r="39" ht="27" customHeight="1">
      <c r="A39" s="6" t="inlineStr">
        <is>
          <t>m10p</t>
        </is>
      </c>
      <c r="B39" s="6" t="inlineStr">
        <is>
          <t>8 a 12</t>
        </is>
      </c>
      <c r="C39" s="6" t="inlineStr">
        <is>
          <t>PLANTA</t>
        </is>
      </c>
      <c r="D39" s="6" t="inlineStr">
        <is>
          <t>Paro parcial</t>
        </is>
      </c>
      <c r="E39" s="6" t="inlineStr">
        <is>
          <t>El sindicato anuncia 2 días de paro parcial si no hay bono de fin de año.</t>
        </is>
      </c>
      <c r="F39" s="6" t="inlineStr">
        <is>
          <t>Bono por metas: Pagas un bono variable ligado a metas de planta y seguridad, en 2 cuotas.</t>
        </is>
      </c>
      <c r="G39" s="4" t="n"/>
      <c r="H39" s="4" t="n"/>
      <c r="I39" s="4" t="n"/>
      <c r="J39" s="4" t="n"/>
    </row>
    <row r="40" ht="27" customHeight="1">
      <c r="A40" s="6" t="inlineStr">
        <is>
          <t>m10e</t>
        </is>
      </c>
      <c r="B40" s="6" t="inlineStr">
        <is>
          <t>Cualquiera</t>
        </is>
      </c>
      <c r="C40" s="6" t="inlineStr">
        <is>
          <t>ENTORNO</t>
        </is>
      </c>
      <c r="D40" s="6" t="inlineStr">
        <is>
          <t>Sequía en la planta</t>
        </is>
      </c>
      <c r="E40" s="6" t="inlineStr">
        <is>
          <t>Una sequía recorta 20% el agua de tu planta y no cubre todos los pedidos.</t>
        </is>
      </c>
      <c r="F40" s="6" t="inlineStr">
        <is>
          <t>Pedidos rentables: Asignas el volumen a los pedidos que más rinden y avisas al resto.</t>
        </is>
      </c>
      <c r="G40" s="4" t="n"/>
      <c r="H40" s="4" t="n"/>
      <c r="I40" s="4" t="n"/>
      <c r="J40" s="4" t="n"/>
    </row>
    <row r="41" ht="27" customHeight="1">
      <c r="A41" s="6" t="inlineStr">
        <is>
          <t>m10s</t>
        </is>
      </c>
      <c r="B41" s="6" t="inlineStr">
        <is>
          <t>9 a 12</t>
        </is>
      </c>
      <c r="C41" s="6" t="inlineStr">
        <is>
          <t>ESTRATEGIA</t>
        </is>
      </c>
      <c r="D41" s="6" t="inlineStr">
        <is>
          <t>Feria del sector</t>
        </is>
      </c>
      <c r="E41" s="6" t="inlineStr">
        <is>
          <t>La feria anual cuesta 0,5 en stand y viajes, y 6 de tus clientes no irán.</t>
        </is>
      </c>
      <c r="F41" s="6" t="inlineStr">
        <is>
          <t>Ir con citas: Vas con un stand pequeño y 15 citas ya agendadas con clientes.</t>
        </is>
      </c>
      <c r="G41" s="4" t="n"/>
      <c r="H41" s="4" t="n"/>
      <c r="I41" s="4" t="n"/>
      <c r="J41" s="4" t="n"/>
    </row>
    <row r="42" ht="27" customHeight="1">
      <c r="A42" s="6" t="inlineStr">
        <is>
          <t>m11c</t>
        </is>
      </c>
      <c r="B42" s="6" t="inlineStr">
        <is>
          <t>Cualquiera</t>
        </is>
      </c>
      <c r="C42" s="6" t="inlineStr">
        <is>
          <t>CLIENTE</t>
        </is>
      </c>
      <c r="D42" s="6" t="inlineStr">
        <is>
          <t>Cargos en disputa</t>
        </is>
      </c>
      <c r="E42" s="6" t="inlineStr">
        <is>
          <t>Un cliente objeta 3% de cargos en 4 facturas, pero sigue comprando.</t>
        </is>
      </c>
      <c r="F42" s="6" t="inlineStr">
        <is>
          <t>Revisar cada cargo: Revisas las 4 facturas con el cliente y arreglas lo que esté mal.</t>
        </is>
      </c>
      <c r="G42" s="4" t="n"/>
      <c r="H42" s="4" t="n"/>
      <c r="I42" s="4" t="n"/>
      <c r="J42" s="4" t="n"/>
    </row>
    <row r="43" ht="27" customHeight="1">
      <c r="A43" s="6" t="inlineStr">
        <is>
          <t>m11p</t>
        </is>
      </c>
      <c r="B43" s="6" t="inlineStr">
        <is>
          <t>11 a 12</t>
        </is>
      </c>
      <c r="C43" s="6" t="inlineStr">
        <is>
          <t>PLANTA</t>
        </is>
      </c>
      <c r="D43" s="6" t="inlineStr">
        <is>
          <t>Turnos de fin de año</t>
        </is>
      </c>
      <c r="E43" s="6" t="inlineStr">
        <is>
          <t>Llega fin de año con 30% más de pedidos y gente que pide vacaciones.</t>
        </is>
      </c>
      <c r="F43" s="6" t="inlineStr">
        <is>
          <t>Turnos rotativos: Rotas a la gente con permisos justos y un bono de 3% por cumplir.</t>
        </is>
      </c>
      <c r="G43" s="4" t="n"/>
      <c r="H43" s="4" t="n"/>
      <c r="I43" s="4" t="n"/>
      <c r="J43" s="4" t="n"/>
    </row>
    <row r="44" ht="27" customHeight="1">
      <c r="A44" s="6" t="inlineStr">
        <is>
          <t>m11e</t>
        </is>
      </c>
      <c r="B44" s="6" t="inlineStr">
        <is>
          <t>Cualquiera</t>
        </is>
      </c>
      <c r="C44" s="6" t="inlineStr">
        <is>
          <t>ENTORNO</t>
        </is>
      </c>
      <c r="D44" s="6" t="inlineStr">
        <is>
          <t>Bloqueo de caminos</t>
        </is>
      </c>
      <c r="E44" s="6" t="inlineStr">
        <is>
          <t>Comunidades bloquean el camino y las ventas se detienen por 3 semanas.</t>
        </is>
      </c>
      <c r="F44" s="6" t="inlineStr">
        <is>
          <t>Desvío: Coordinas un desvío con el cliente y hablas con la comunidad.</t>
        </is>
      </c>
      <c r="G44" s="4" t="n"/>
      <c r="H44" s="4" t="n"/>
      <c r="I44" s="4" t="n"/>
      <c r="J44" s="4" t="n"/>
    </row>
    <row r="45" ht="27" customHeight="1">
      <c r="A45" s="6" t="inlineStr">
        <is>
          <t>m11s</t>
        </is>
      </c>
      <c r="B45" s="6" t="inlineStr">
        <is>
          <t>Cualquiera</t>
        </is>
      </c>
      <c r="C45" s="6" t="inlineStr">
        <is>
          <t>ESTRATEGIA</t>
        </is>
      </c>
      <c r="D45" s="6" t="inlineStr">
        <is>
          <t>Comisiones de ventas</t>
        </is>
      </c>
      <c r="E45" s="6" t="inlineStr">
        <is>
          <t>Tus vendedores cobran 3% sobre la venta, aunque el margen sea bajo.</t>
        </is>
      </c>
      <c r="F45" s="6" t="inlineStr">
        <is>
          <t>Comisión por margen: Cambias la base de comisión a margen y fijas un piso de 1% por 6 meses.</t>
        </is>
      </c>
      <c r="G45" s="4" t="n"/>
      <c r="H45" s="4" t="n"/>
      <c r="I45" s="4" t="n"/>
      <c r="J45" s="4" t="n"/>
    </row>
    <row r="46" ht="27" customHeight="1">
      <c r="A46" s="6" t="inlineStr">
        <is>
          <t>m12c</t>
        </is>
      </c>
      <c r="B46" s="6" t="inlineStr">
        <is>
          <t>Cualquiera</t>
        </is>
      </c>
      <c r="C46" s="6" t="inlineStr">
        <is>
          <t>CLIENTE</t>
        </is>
      </c>
      <c r="D46" s="6" t="inlineStr">
        <is>
          <t>Contrato a precio fijo</t>
        </is>
      </c>
      <c r="E46" s="6" t="inlineStr">
        <is>
          <t>Un cliente ofrece renovar 3 años a precio fijo, sin reajuste por inflación.</t>
        </is>
      </c>
      <c r="F46" s="6" t="inlineStr">
        <is>
          <t>Fijo con tope: Aceptas 36 meses y pides un tope de variación atado al costo de insumos.</t>
        </is>
      </c>
      <c r="G46" s="4" t="n"/>
      <c r="H46" s="4" t="n"/>
      <c r="I46" s="4" t="n"/>
      <c r="J46" s="4" t="n"/>
    </row>
    <row r="47" ht="27" customHeight="1">
      <c r="A47" s="6" t="inlineStr">
        <is>
          <t>m12p</t>
        </is>
      </c>
      <c r="B47" s="6" t="inlineStr">
        <is>
          <t>11 a 12</t>
        </is>
      </c>
      <c r="C47" s="6" t="inlineStr">
        <is>
          <t>PLANTA</t>
        </is>
      </c>
      <c r="D47" s="6" t="inlineStr">
        <is>
          <t>Inventario obsoleto</t>
        </is>
      </c>
      <c r="E47" s="6" t="inlineStr">
        <is>
          <t>Cierra el año y 5% del inventario parece obsoleto antes de valorarlo.</t>
        </is>
      </c>
      <c r="F47" s="6" t="inlineStr">
        <is>
          <t>Conteo y venta: Cuentas el stock, vendes lo recuperable y das de baja el resto.</t>
        </is>
      </c>
      <c r="G47" s="4" t="n"/>
      <c r="H47" s="4" t="n"/>
      <c r="I47" s="4" t="n"/>
      <c r="J47" s="4" t="n"/>
    </row>
    <row r="48" ht="27" customHeight="1">
      <c r="A48" s="6" t="inlineStr">
        <is>
          <t>m12e</t>
        </is>
      </c>
      <c r="B48" s="6" t="inlineStr">
        <is>
          <t>11 a 12</t>
        </is>
      </c>
      <c r="C48" s="6" t="inlineStr">
        <is>
          <t>ENTORNO</t>
        </is>
      </c>
      <c r="D48" s="6" t="inlineStr">
        <is>
          <t>Paro de camioneros</t>
        </is>
      </c>
      <c r="E48" s="6" t="inlineStr">
        <is>
          <t>Un paro de camioneros amenaza los despachos de diciembre, 18% del año.</t>
        </is>
      </c>
      <c r="F48" s="6" t="inlineStr">
        <is>
          <t>Adelantar despachos: Adelantas 40% de los despachos y reservas 3 transportistas alternativos.</t>
        </is>
      </c>
      <c r="G48" s="4" t="n"/>
      <c r="H48" s="4" t="n"/>
      <c r="I48" s="4" t="n"/>
      <c r="J48" s="4" t="n"/>
    </row>
    <row r="49" ht="27" customHeight="1">
      <c r="A49" s="6" t="inlineStr">
        <is>
          <t>m12s</t>
        </is>
      </c>
      <c r="B49" s="6" t="inlineStr">
        <is>
          <t>11 a 12</t>
        </is>
      </c>
      <c r="C49" s="6" t="inlineStr">
        <is>
          <t>ESTRATEGIA</t>
        </is>
      </c>
      <c r="D49" s="6" t="inlineStr">
        <is>
          <t>Cierre del año</t>
        </is>
      </c>
      <c r="E49" s="6" t="inlineStr">
        <is>
          <t>Falta 1 mes para cerrar y el OI está 1 punto bajo el plan.</t>
        </is>
      </c>
      <c r="F49" s="6" t="inlineStr">
        <is>
          <t>Congelar cargos: Congelas 2 cargos vacantes y pausas capacitaciones ajenas a las ventas.</t>
        </is>
      </c>
      <c r="G49" s="4" t="n"/>
      <c r="H49" s="4" t="n"/>
      <c r="I49" s="4" t="n"/>
      <c r="J49" s="4" t="n"/>
    </row>
  </sheetData>
  <autoFilter ref="A1:J49"/>
  <conditionalFormatting sqref="G2:H49">
    <cfRule type="expression" priority="1" dxfId="0">
      <formula>G2="No"</formula>
    </cfRule>
  </conditionalFormatting>
  <dataValidations count="2">
    <dataValidation sqref="G2:G49" showDropDown="0" showInputMessage="0" showErrorMessage="0" allowBlank="1" errorTitle="Valor no válido" error="Elige un valor de la lista" type="list">
      <formula1>"Sí,No,Ambiguo"</formula1>
    </dataValidation>
    <dataValidation sqref="H2:H49" showDropDown="0" showInputMessage="0" showErrorMessage="0" allowBlank="1" errorTitle="Valor no válido" error="Elige un valor de la lista" type="list">
      <formula1>"Sí,No,Ambiguo"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7" t="inlineStr">
        <is>
          <t>Resumen de la revisión</t>
        </is>
      </c>
    </row>
    <row r="3">
      <c r="A3" s="8" t="inlineStr">
        <is>
          <t>Respuestas en la ficha</t>
        </is>
      </c>
      <c r="B3" s="9">
        <f>COUNTA('Revisión'!A2:A193)</f>
        <v/>
      </c>
    </row>
    <row r="4">
      <c r="A4" s="8" t="inlineStr">
        <is>
          <t>Respuestas revisadas (realista marcado)</t>
        </is>
      </c>
      <c r="B4" s="9">
        <f>COUNTA('Revisión'!I2:I193)</f>
        <v/>
      </c>
    </row>
    <row r="5">
      <c r="A5" s="8" t="inlineStr">
        <is>
          <t>Realista: Sí</t>
        </is>
      </c>
      <c r="B5" s="9">
        <f>COUNTIF('Revisión'!I2:I193,"Sí")</f>
        <v/>
      </c>
    </row>
    <row r="6">
      <c r="A6" s="8" t="inlineStr">
        <is>
          <t>Realista: No</t>
        </is>
      </c>
      <c r="B6" s="9">
        <f>COUNTIF('Revisión'!I2:I193,"No")</f>
        <v/>
      </c>
    </row>
    <row r="7">
      <c r="A7" s="8" t="inlineStr">
        <is>
          <t>Realista: Ambiguo</t>
        </is>
      </c>
      <c r="B7" s="9">
        <f>COUNTIF('Revisión'!I2:I193,"Ambiguo")</f>
        <v/>
      </c>
    </row>
    <row r="8">
      <c r="A8" s="8" t="inlineStr">
        <is>
          <t>% realista (Sí / total)</t>
        </is>
      </c>
      <c r="B8" s="10">
        <f>IF(COUNTA('Revisión'!A2:A193)=0,0,COUNTIF('Revisión'!I2:I193,"Sí")/COUNTA('Revisión'!A2:A193))</f>
        <v/>
      </c>
    </row>
    <row r="9">
      <c r="A9" s="8" t="inlineStr">
        <is>
          <t>Líneas distintas a la del juego</t>
        </is>
      </c>
      <c r="B9" s="9">
        <f>SUMPRODUCT(('Revisión'!J2:J193&lt;&gt;"")*('Revisión'!J2:J193&lt;&gt;'Revisión'!G2:G193))</f>
        <v/>
      </c>
    </row>
    <row r="10">
      <c r="A10" s="8" t="inlineStr">
        <is>
          <t>Traducciones marcadas «No»</t>
        </is>
      </c>
      <c r="B10" s="9">
        <f>COUNTIF('Revisión'!O2:O193,"No")</f>
        <v/>
      </c>
    </row>
    <row r="11">
      <c r="A11" s="8" t="inlineStr">
        <is>
          <t>Escenas no realistas</t>
        </is>
      </c>
      <c r="B11" s="9">
        <f>COUNTIF('Problemas'!G2:G49,"No")</f>
        <v/>
      </c>
    </row>
    <row r="12">
      <c r="A12" s="8" t="inlineStr">
        <is>
          <t>Equilibradas que no son la mejor</t>
        </is>
      </c>
      <c r="B12" s="9">
        <f>COUNTIF('Problemas'!H2:H49,"No")</f>
        <v/>
      </c>
    </row>
    <row r="13">
      <c r="A13" s="8" t="inlineStr">
        <is>
          <t>Resultado</t>
        </is>
      </c>
      <c r="B13" s="9">
        <f>IF(AND(B8&gt;=0.9,B9=0),"Aprobado","Revisar")</f>
        <v/>
      </c>
    </row>
    <row r="16">
      <c r="A16" s="11" t="inlineStr">
        <is>
          <t>Realista por voz</t>
        </is>
      </c>
      <c r="B16" s="12" t="inlineStr">
        <is>
          <t>Respuestas</t>
        </is>
      </c>
      <c r="C16" s="12" t="inlineStr">
        <is>
          <t>Sí</t>
        </is>
      </c>
      <c r="D16" s="12" t="inlineStr">
        <is>
          <t>No</t>
        </is>
      </c>
      <c r="E16" s="12" t="inlineStr">
        <is>
          <t>Ambiguo</t>
        </is>
      </c>
    </row>
    <row r="17">
      <c r="A17" s="8" t="inlineStr">
        <is>
          <t>CLIENTE</t>
        </is>
      </c>
      <c r="B17">
        <f>COUNTIF('Revisión'!C2:C193,"CLIENTE")</f>
        <v/>
      </c>
      <c r="C17">
        <f>COUNTIFS('Revisión'!C2:C193,"CLIENTE",'Revisión'!I2:I193,"Sí")</f>
        <v/>
      </c>
      <c r="D17">
        <f>COUNTIFS('Revisión'!C2:C193,"CLIENTE",'Revisión'!I2:I193,"No")</f>
        <v/>
      </c>
      <c r="E17">
        <f>COUNTIFS('Revisión'!C2:C193,"CLIENTE",'Revisión'!I2:I193,"Ambiguo")</f>
        <v/>
      </c>
    </row>
    <row r="18">
      <c r="A18" s="8" t="inlineStr">
        <is>
          <t>PLANTA</t>
        </is>
      </c>
      <c r="B18">
        <f>COUNTIF('Revisión'!C2:C193,"PLANTA")</f>
        <v/>
      </c>
      <c r="C18">
        <f>COUNTIFS('Revisión'!C2:C193,"PLANTA",'Revisión'!I2:I193,"Sí")</f>
        <v/>
      </c>
      <c r="D18">
        <f>COUNTIFS('Revisión'!C2:C193,"PLANTA",'Revisión'!I2:I193,"No")</f>
        <v/>
      </c>
      <c r="E18">
        <f>COUNTIFS('Revisión'!C2:C193,"PLANTA",'Revisión'!I2:I193,"Ambiguo")</f>
        <v/>
      </c>
    </row>
    <row r="19">
      <c r="A19" s="8" t="inlineStr">
        <is>
          <t>ENTORNO</t>
        </is>
      </c>
      <c r="B19">
        <f>COUNTIF('Revisión'!C2:C193,"ENTORNO")</f>
        <v/>
      </c>
      <c r="C19">
        <f>COUNTIFS('Revisión'!C2:C193,"ENTORNO",'Revisión'!I2:I193,"Sí")</f>
        <v/>
      </c>
      <c r="D19">
        <f>COUNTIFS('Revisión'!C2:C193,"ENTORNO",'Revisión'!I2:I193,"No")</f>
        <v/>
      </c>
      <c r="E19">
        <f>COUNTIFS('Revisión'!C2:C193,"ENTORNO",'Revisión'!I2:I193,"Ambiguo")</f>
        <v/>
      </c>
    </row>
    <row r="20">
      <c r="A20" s="8" t="inlineStr">
        <is>
          <t>ESTRATEGIA</t>
        </is>
      </c>
      <c r="B20">
        <f>COUNTIF('Revisión'!C2:C193,"ESTRATEGIA")</f>
        <v/>
      </c>
      <c r="C20">
        <f>COUNTIFS('Revisión'!C2:C193,"ESTRATEGIA",'Revisión'!I2:I193,"Sí")</f>
        <v/>
      </c>
      <c r="D20">
        <f>COUNTIFS('Revisión'!C2:C193,"ESTRATEGIA",'Revisión'!I2:I193,"No")</f>
        <v/>
      </c>
      <c r="E20">
        <f>COUNTIFS('Revisión'!C2:C193,"ESTRATEGIA",'Revisión'!I2:I193,"Ambiguo")</f>
        <v/>
      </c>
    </row>
    <row r="23">
      <c r="A23" s="11" t="inlineStr">
        <is>
          <t>Realista por tipo de respuesta</t>
        </is>
      </c>
      <c r="B23" s="12" t="inlineStr">
        <is>
          <t>Respuestas</t>
        </is>
      </c>
      <c r="C23" s="12" t="inlineStr">
        <is>
          <t>Sí</t>
        </is>
      </c>
      <c r="D23" s="12" t="inlineStr">
        <is>
          <t>No</t>
        </is>
      </c>
      <c r="E23" s="12" t="inlineStr">
        <is>
          <t>Ambiguo</t>
        </is>
      </c>
    </row>
    <row r="24">
      <c r="A24" s="8" t="inlineStr">
        <is>
          <t>Equilibrada</t>
        </is>
      </c>
      <c r="B24">
        <f>COUNTIF('Revisión'!H2:H193,"Equilibrada")</f>
        <v/>
      </c>
      <c r="C24">
        <f>COUNTIFS('Revisión'!H2:H193,"Equilibrada",'Revisión'!I2:I193,"Sí")</f>
        <v/>
      </c>
      <c r="D24">
        <f>COUNTIFS('Revisión'!H2:H193,"Equilibrada",'Revisión'!I2:I193,"No")</f>
        <v/>
      </c>
      <c r="E24">
        <f>COUNTIFS('Revisión'!H2:H193,"Equilibrada",'Revisión'!I2:I193,"Ambiguo")</f>
        <v/>
      </c>
    </row>
    <row r="25">
      <c r="A25" s="8" t="inlineStr">
        <is>
          <t>Atajo</t>
        </is>
      </c>
      <c r="B25">
        <f>COUNTIF('Revisión'!H2:H193,"Atajo")</f>
        <v/>
      </c>
      <c r="C25">
        <f>COUNTIFS('Revisión'!H2:H193,"Atajo",'Revisión'!I2:I193,"Sí")</f>
        <v/>
      </c>
      <c r="D25">
        <f>COUNTIFS('Revisión'!H2:H193,"Atajo",'Revisión'!I2:I193,"No")</f>
        <v/>
      </c>
      <c r="E25">
        <f>COUNTIFS('Revisión'!H2:H193,"Atajo",'Revisión'!I2:I193,"Ambiguo")</f>
        <v/>
      </c>
    </row>
    <row r="26">
      <c r="A26" s="8" t="inlineStr">
        <is>
          <t>Ceder</t>
        </is>
      </c>
      <c r="B26">
        <f>COUNTIF('Revisión'!H2:H193,"Ceder")</f>
        <v/>
      </c>
      <c r="C26">
        <f>COUNTIFS('Revisión'!H2:H193,"Ceder",'Revisión'!I2:I193,"Sí")</f>
        <v/>
      </c>
      <c r="D26">
        <f>COUNTIFS('Revisión'!H2:H193,"Ceder",'Revisión'!I2:I193,"No")</f>
        <v/>
      </c>
      <c r="E26">
        <f>COUNTIFS('Revisión'!H2:H193,"Ceder",'Revisión'!I2:I193,"Ambiguo")</f>
        <v/>
      </c>
    </row>
    <row r="27">
      <c r="A27" s="8" t="inlineStr">
        <is>
          <t>Pasiva</t>
        </is>
      </c>
      <c r="B27">
        <f>COUNTIF('Revisión'!H2:H193,"Pasiva")</f>
        <v/>
      </c>
      <c r="C27">
        <f>COUNTIFS('Revisión'!H2:H193,"Pasiva",'Revisión'!I2:I193,"Sí")</f>
        <v/>
      </c>
      <c r="D27">
        <f>COUNTIFS('Revisión'!H2:H193,"Pasiva",'Revisión'!I2:I193,"No")</f>
        <v/>
      </c>
      <c r="E27">
        <f>COUNTIFS('Revisión'!H2:H193,"Pasiva",'Revisión'!I2:I193,"Ambiguo")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2026-10-02T11:12:33Z</dcterms:created>
  <dcterms:modified xmlns:dcterms="http://purl.org/dc/terms/" xmlns:xsi="http://www.w3.org/2001/XMLSchema-instance" xsi:type="dcterms:W3CDTF">2026-10-02T11:12:33Z</dcterms:modified>
</cp:coreProperties>
</file>