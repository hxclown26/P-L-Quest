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visión" sheetId="2" state="visible" r:id="rId2"/>
    <sheet xmlns:r="http://schemas.openxmlformats.org/officeDocument/2006/relationships" name="Problemas" sheetId="3" state="visible" r:id="rId3"/>
    <sheet xmlns:r="http://schemas.openxmlformats.org/officeDocument/2006/relationships" name="Resumen" sheetId="4" state="visible" r:id="rId4"/>
  </sheets>
  <definedNames>
    <definedName name="_xlnm._FilterDatabase" localSheetId="1" hidden="1">'Revisión'!$A$1:$T$193</definedName>
    <definedName name="_xlnm.Print_Titles" localSheetId="1">'Revisión'!$1:$1</definedName>
    <definedName name="_xlnm._FilterDatabase" localSheetId="2" hidden="1">'Problemas'!$A$1:$L$49</definedName>
    <definedName name="_xlnm.Print_Titles" localSheetId="2">'Problemas'!$1:$1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sz val="10"/>
    </font>
    <font>
      <name val="Calibri"/>
      <b val="1"/>
      <color rgb="001F3864"/>
      <sz val="10"/>
    </font>
    <font>
      <name val="Calibri"/>
      <b val="1"/>
      <color rgb="00FFFFFF"/>
      <sz val="10"/>
    </font>
    <font>
      <name val="Calibri"/>
      <b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5" fillId="0" borderId="1" pivotButton="0" quotePrefix="0" xfId="0"/>
    <xf numFmtId="164" fontId="5" fillId="0" borderId="1" pivotButton="0" quotePrefix="0" xfId="0"/>
    <xf numFmtId="0" fontId="3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P&amp;L Quest: ficha de revisión de dominio</t>
        </is>
      </c>
      <c r="B1" s="2" t="n"/>
    </row>
    <row r="2" ht="54" customHeight="1">
      <c r="A2" s="3" t="inlineStr">
        <is>
          <t>Para qué sirve</t>
        </is>
      </c>
      <c r="B2" s="2" t="inlineStr">
        <is>
          <t>Comprobar que las 48 situaciones del modo Año completo (192 respuestas) suenan reales en el negocio y que cada respuesta mueve las líneas correctas del P&amp;L, en el sentido correcto. Los clientes son hoteles, hospitales, industria de alimentos e industria en general. Los datos del juego son ficticios.</t>
        </is>
      </c>
    </row>
    <row r="3" ht="27" customHeight="1">
      <c r="A3" s="3" t="inlineStr">
        <is>
          <t>Cuánto toma</t>
        </is>
      </c>
      <c r="B3" s="2" t="inlineStr">
        <is>
          <t>Entre 1 y 1,5 horas. Lee una fila a la vez: la escena, la respuesta, lo que el juego dice que hace en el P&amp;L y lo que cuenta después de responder.</t>
        </is>
      </c>
    </row>
    <row r="4" ht="94.5" customHeight="1">
      <c r="A4" s="3" t="inlineStr">
        <is>
          <t>Hoja Revisión</t>
        </is>
      </c>
      <c r="B4" s="2" t="inlineStr">
        <is>
          <t>Una fila por respuesta. «Efecto en el P&amp;L» muestra las líneas que se mueven y hacia dónde (↑ la línea sube, ↓ baja; una respuesta de crecimiento trae además su volumen y su precio, en % de las ventas del plan). «Después de responder» es la historia que el juego cuenta. Completa las celdas amarillas: ¿Realista? (Sí, No o Ambiguo), Línea correcta (la del P&amp;L que a tu juicio mueve más la respuesta; «Fuera del P&amp;L» si es caja, deuda, impuestos u otra cosa) y Comentario (obligatorio si marcas No, Ambiguo o una línea distinta). Las columnas en inglés son para quien revise la traducción.</t>
        </is>
      </c>
    </row>
    <row r="5" ht="40.5" customHeight="1">
      <c r="A5" s="3" t="inlineStr">
        <is>
          <t>Hoja Problemas</t>
        </is>
      </c>
      <c r="B5" s="2" t="inlineStr">
        <is>
          <t>Una fila por situación, con su ficha completa: lo que la persona lee antes de decidir. Dime si la escena es realista, si la respuesta equilibrada es de verdad la mejor y si falta una opción mejor.</t>
        </is>
      </c>
    </row>
    <row r="6" ht="67.5" customHeight="1">
      <c r="A6" s="3" t="inlineStr">
        <is>
          <t>Líneas rojas y crecimiento</t>
        </is>
      </c>
      <c r="B6" s="2" t="inlineStr">
        <is>
          <t>Seis respuestas son líneas rojas (incumplir un contrato, inflar una cifra, ocultar un incidente): el juego las castiga con una multa y no hay resultado que las compre de vuelta; marca si de verdad lo son. Cuatro situaciones de crecimiento (m06c, m08c, m09c, m12c) y dos mixtas (m03s, m06s) se miden en volumen y precio: revisa si el trueque entre vender más y ganar menos es creíble.</t>
        </is>
      </c>
    </row>
    <row r="7" ht="13.5" customHeight="1">
      <c r="A7" s="3" t="inlineStr">
        <is>
          <t>Hoja Resumen</t>
        </is>
      </c>
      <c r="B7" s="2" t="inlineStr">
        <is>
          <t>Se calcula sola con lo que completes. No hay que tocarla.</t>
        </is>
      </c>
    </row>
    <row r="8" ht="67.5" customHeight="1">
      <c r="A8" s="3" t="inlineStr">
        <is>
          <t>Las 6 líneas</t>
        </is>
      </c>
      <c r="B8" s="2" t="inlineStr">
        <is>
          <t>Ventas: ventas antes de incentivos. Incentivos: rebates y descuentos a clientes. Costo: costo de ventas (insumos, producción, mantención). Flete: llevar el producto al cliente. Direct Chg: cargos directos al cliente, como el comodato de equipos o las visitas de servicio. SG&amp;A: ventas, generales y administración. Debajo de la línea de SG&amp;A el juego termina en el OI: caja, capital de trabajo, deuda, intereses e impuestos quedan fuera.</t>
        </is>
      </c>
    </row>
    <row r="9" ht="40.5" customHeight="1">
      <c r="A9" s="3" t="inlineStr">
        <is>
          <t>Los 4 tipos de respuesta</t>
        </is>
      </c>
      <c r="B9" s="2" t="inlineStr">
        <is>
          <t>Equilibrada: la que el juego premia (mejora el OI con una contrapartida bien diseñada). Atajo: sube el OI hoy y cobra después. Ceder: cede a la voz en tensión y el OI paga. Pasiva: no hacer nada.</t>
        </is>
      </c>
    </row>
    <row r="10" ht="27" customHeight="1">
      <c r="A10" s="3" t="inlineStr">
        <is>
          <t>Criterio de aprobación</t>
        </is>
      </c>
      <c r="B10" s="2" t="inlineStr">
        <is>
          <t>Al menos 90% de las 192 respuestas marcadas «Sí» en realista y ninguna línea distinta sin resolver. Lo que marques No, Ambiguo o con otra línea se corrige y se vuelve a revisar.</t>
        </is>
      </c>
    </row>
    <row r="11">
      <c r="A11" s="3" t="inlineStr">
        <is>
          <t>Revisor</t>
        </is>
      </c>
      <c r="B11" s="2" t="n"/>
    </row>
    <row r="12">
      <c r="A12" s="3" t="inlineStr">
        <is>
          <t>Nombre</t>
        </is>
      </c>
      <c r="B12" s="4" t="n"/>
    </row>
    <row r="13">
      <c r="A13" s="3" t="inlineStr">
        <is>
          <t>Área (comercial, operaciones, otra)</t>
        </is>
      </c>
      <c r="B13" s="4" t="n"/>
    </row>
    <row r="14">
      <c r="A14" s="3" t="inlineStr">
        <is>
          <t>Fecha</t>
        </is>
      </c>
      <c r="B14" s="4" t="n"/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2" customWidth="1" min="4" max="4"/>
    <col width="38" customWidth="1" min="5" max="5"/>
    <col width="20" customWidth="1" min="6" max="6"/>
    <col width="52" customWidth="1" min="7" max="7"/>
    <col width="28" customWidth="1" min="8" max="8"/>
    <col width="14" customWidth="1" min="9" max="9"/>
    <col width="14" customWidth="1" min="10" max="10"/>
    <col width="52" customWidth="1" min="11" max="11"/>
    <col width="12" customWidth="1" min="12" max="12"/>
    <col width="14" customWidth="1" min="13" max="13"/>
    <col width="40" customWidth="1" min="14" max="14"/>
    <col width="38" customWidth="1" min="15" max="15"/>
    <col width="20" customWidth="1" min="16" max="16"/>
    <col width="52" customWidth="1" min="17" max="17"/>
    <col width="28" customWidth="1" min="18" max="18"/>
    <col width="52" customWidth="1" min="19" max="19"/>
    <col width="14" customWidth="1" min="20" max="20"/>
  </cols>
  <sheetData>
    <row r="1" ht="32" customHeight="1">
      <c r="A1" s="5" t="inlineStr">
        <is>
          <t>ID</t>
        </is>
      </c>
      <c r="B1" s="5" t="inlineStr">
        <is>
          <t>Meses</t>
        </is>
      </c>
      <c r="C1" s="5" t="inlineStr">
        <is>
          <t>Voz</t>
        </is>
      </c>
      <c r="D1" s="5" t="inlineStr">
        <is>
          <t>Segmento</t>
        </is>
      </c>
      <c r="E1" s="5" t="inlineStr">
        <is>
          <t>Escena</t>
        </is>
      </c>
      <c r="F1" s="5" t="inlineStr">
        <is>
          <t>Respuesta</t>
        </is>
      </c>
      <c r="G1" s="5" t="inlineStr">
        <is>
          <t>Descripción</t>
        </is>
      </c>
      <c r="H1" s="5" t="inlineStr">
        <is>
          <t>Efecto en el P&amp;L</t>
        </is>
      </c>
      <c r="I1" s="5" t="inlineStr">
        <is>
          <t>Línea que mueve</t>
        </is>
      </c>
      <c r="J1" s="5" t="inlineStr">
        <is>
          <t>Intención del autor</t>
        </is>
      </c>
      <c r="K1" s="5" t="inlineStr">
        <is>
          <t>Después de responder</t>
        </is>
      </c>
      <c r="L1" s="5" t="inlineStr">
        <is>
          <t>¿Realista?</t>
        </is>
      </c>
      <c r="M1" s="5" t="inlineStr">
        <is>
          <t>Línea correcta</t>
        </is>
      </c>
      <c r="N1" s="5" t="inlineStr">
        <is>
          <t>Comentario</t>
        </is>
      </c>
      <c r="O1" s="5" t="inlineStr">
        <is>
          <t>Scene (EN)</t>
        </is>
      </c>
      <c r="P1" s="5" t="inlineStr">
        <is>
          <t>Answer (EN)</t>
        </is>
      </c>
      <c r="Q1" s="5" t="inlineStr">
        <is>
          <t>Description (EN)</t>
        </is>
      </c>
      <c r="R1" s="5" t="inlineStr">
        <is>
          <t>Effect on the P&amp;L (EN)</t>
        </is>
      </c>
      <c r="S1" s="5" t="inlineStr">
        <is>
          <t>After answering (EN)</t>
        </is>
      </c>
      <c r="T1" s="5" t="inlineStr">
        <is>
          <t>¿Traducción correcta?</t>
        </is>
      </c>
    </row>
    <row r="2" ht="40.5" customHeight="1">
      <c r="A2" s="6" t="inlineStr">
        <is>
          <t>m01c</t>
        </is>
      </c>
      <c r="B2" s="6" t="inlineStr">
        <is>
          <t>Cualquiera</t>
        </is>
      </c>
      <c r="C2" s="6" t="inlineStr">
        <is>
          <t>CLIENTE</t>
        </is>
      </c>
      <c r="D2" s="6" t="inlineStr">
        <is>
          <t>HOTELES</t>
        </is>
      </c>
      <c r="E2" s="6" t="inlineStr">
        <is>
          <t>Una cadena de hoteles, 18% de tus ventas, pide 3% de rebate para renovar.</t>
        </is>
      </c>
      <c r="F2" s="6" t="inlineStr">
        <is>
          <t>Contrato a 2 años</t>
        </is>
      </c>
      <c r="G2" s="6" t="inlineStr">
        <is>
          <t>Ofreces 1% de rebate y subes a 2% sobre el plan para que firmen 2 años.</t>
        </is>
      </c>
      <c r="H2" s="6" t="inlineStr">
        <is>
          <t>Ventas ↑ · Incentivos ↑</t>
        </is>
      </c>
      <c r="I2" s="6" t="inlineStr">
        <is>
          <t>Ventas</t>
        </is>
      </c>
      <c r="J2" s="6" t="inlineStr">
        <is>
          <t>Equilibrada</t>
        </is>
      </c>
      <c r="K2" s="6" t="inlineStr">
        <is>
          <t>Equilibrada: el hotel firmó 2 años; el rebate de 1% cuesta poco y asegura 18% de tus ventas.</t>
        </is>
      </c>
      <c r="L2" s="4" t="n"/>
      <c r="M2" s="4" t="n"/>
      <c r="N2" s="4" t="n"/>
      <c r="O2" s="6" t="inlineStr">
        <is>
          <t>A hotel chain, 18% of your sales, asks for a 3% rebate to renew the contract.</t>
        </is>
      </c>
      <c r="P2" s="6" t="inlineStr">
        <is>
          <t>2-year contract</t>
        </is>
      </c>
      <c r="Q2" s="6" t="inlineStr">
        <is>
          <t>You offer a 1% rebate rising to 2% above plan if they sign for 2 years.</t>
        </is>
      </c>
      <c r="R2" s="6" t="inlineStr">
        <is>
          <t>Sales ↑ · Incentives ↑</t>
        </is>
      </c>
      <c r="S2" s="6" t="inlineStr">
        <is>
          <t>Balanced: the hotel signed for 2 years; a 1% rebate costs little and secures 18% of your sales.</t>
        </is>
      </c>
      <c r="T2" s="4" t="n"/>
    </row>
    <row r="3" ht="40.5" customHeight="1">
      <c r="A3" s="6" t="inlineStr">
        <is>
          <t>m01c</t>
        </is>
      </c>
      <c r="B3" s="6" t="inlineStr">
        <is>
          <t>Cualquiera</t>
        </is>
      </c>
      <c r="C3" s="6" t="inlineStr">
        <is>
          <t>CLIENTE</t>
        </is>
      </c>
      <c r="D3" s="6" t="inlineStr">
        <is>
          <t>HOTELES</t>
        </is>
      </c>
      <c r="E3" s="6" t="inlineStr">
        <is>
          <t>Una cadena de hoteles, 18% de tus ventas, pide 3% de rebate para renovar.</t>
        </is>
      </c>
      <c r="F3" s="6" t="inlineStr">
        <is>
          <t>Aceptar y compensar</t>
        </is>
      </c>
      <c r="G3" s="6" t="inlineStr">
        <is>
          <t>Aceptas el 3% y compensas con un alza de 2% en sus otros productos.</t>
        </is>
      </c>
      <c r="H3" s="6" t="inlineStr">
        <is>
          <t>Ventas ↑ · Incentivos ↑</t>
        </is>
      </c>
      <c r="I3" s="6" t="inlineStr">
        <is>
          <t>Ventas</t>
        </is>
      </c>
      <c r="J3" s="6" t="inlineStr">
        <is>
          <t>Atajo</t>
        </is>
      </c>
      <c r="K3" s="6" t="inlineStr">
        <is>
          <t>Atajo: aceptaste el 3% y lo cobraste en otros productos; el OI sube hoy y el hotel lo notará.</t>
        </is>
      </c>
      <c r="L3" s="4" t="n"/>
      <c r="M3" s="4" t="n"/>
      <c r="N3" s="4" t="n"/>
      <c r="O3" s="6" t="inlineStr">
        <is>
          <t>A hotel chain, 18% of your sales, asks for a 3% rebate to renew the contract.</t>
        </is>
      </c>
      <c r="P3" s="6" t="inlineStr">
        <is>
          <t>Accept and offset</t>
        </is>
      </c>
      <c r="Q3" s="6" t="inlineStr">
        <is>
          <t>You accept the 3% and offset it with a 2% rise on their other products.</t>
        </is>
      </c>
      <c r="R3" s="6" t="inlineStr">
        <is>
          <t>Sales ↑ · Incentives ↑</t>
        </is>
      </c>
      <c r="S3" s="6" t="inlineStr">
        <is>
          <t>Shortcut: you took the 3% and recovered it on other products; OI rises now, the hotel will notice.</t>
        </is>
      </c>
      <c r="T3" s="4" t="n"/>
    </row>
    <row r="4" ht="40.5" customHeight="1">
      <c r="A4" s="6" t="inlineStr">
        <is>
          <t>m01c</t>
        </is>
      </c>
      <c r="B4" s="6" t="inlineStr">
        <is>
          <t>Cualquiera</t>
        </is>
      </c>
      <c r="C4" s="6" t="inlineStr">
        <is>
          <t>CLIENTE</t>
        </is>
      </c>
      <c r="D4" s="6" t="inlineStr">
        <is>
          <t>HOTELES</t>
        </is>
      </c>
      <c r="E4" s="6" t="inlineStr">
        <is>
          <t>Una cadena de hoteles, 18% de tus ventas, pide 3% de rebate para renovar.</t>
        </is>
      </c>
      <c r="F4" s="6" t="inlineStr">
        <is>
          <t>Ceder el 3%</t>
        </is>
      </c>
      <c r="G4" s="6" t="inlineStr">
        <is>
          <t>Otorgas el 3% sobre el contrato y cierras la renovación esta semana.</t>
        </is>
      </c>
      <c r="H4" s="6" t="inlineStr">
        <is>
          <t>Incentivos ↑</t>
        </is>
      </c>
      <c r="I4" s="6" t="inlineStr">
        <is>
          <t>Incentivos</t>
        </is>
      </c>
      <c r="J4" s="6" t="inlineStr">
        <is>
          <t>Ceder</t>
        </is>
      </c>
      <c r="K4" s="6" t="inlineStr">
        <is>
          <t>Cesión: renovaste cediendo el 3% completo. Quedó el cliente, pero ese rebate es margen que no vuelve.</t>
        </is>
      </c>
      <c r="L4" s="4" t="n"/>
      <c r="M4" s="4" t="n"/>
      <c r="N4" s="4" t="n"/>
      <c r="O4" s="6" t="inlineStr">
        <is>
          <t>A hotel chain, 18% of your sales, asks for a 3% rebate to renew the contract.</t>
        </is>
      </c>
      <c r="P4" s="6" t="inlineStr">
        <is>
          <t>Give the 3%</t>
        </is>
      </c>
      <c r="Q4" s="6" t="inlineStr">
        <is>
          <t>You concede the 3% on the contract and seal the renewal on the spot.</t>
        </is>
      </c>
      <c r="R4" s="6" t="inlineStr">
        <is>
          <t>Incentives ↑</t>
        </is>
      </c>
      <c r="S4" s="6" t="inlineStr">
        <is>
          <t>Concession: you renewed by giving the full 3%. The client stayed, but that rebate is margin that never returns.</t>
        </is>
      </c>
      <c r="T4" s="4" t="n"/>
    </row>
    <row r="5" ht="40.5" customHeight="1">
      <c r="A5" s="6" t="inlineStr">
        <is>
          <t>m01c</t>
        </is>
      </c>
      <c r="B5" s="6" t="inlineStr">
        <is>
          <t>Cualquiera</t>
        </is>
      </c>
      <c r="C5" s="6" t="inlineStr">
        <is>
          <t>CLIENTE</t>
        </is>
      </c>
      <c r="D5" s="6" t="inlineStr">
        <is>
          <t>HOTELES</t>
        </is>
      </c>
      <c r="E5" s="6" t="inlineStr">
        <is>
          <t>Una cadena de hoteles, 18% de tus ventas, pide 3% de rebate para renovar.</t>
        </is>
      </c>
      <c r="F5" s="6" t="inlineStr">
        <is>
          <t>Pedir más plazo</t>
        </is>
      </c>
      <c r="G5" s="6" t="inlineStr">
        <is>
          <t>Pides 30 días y estudias el planteo, aunque el contrato vence en 20.</t>
        </is>
      </c>
      <c r="H5" s="6" t="inlineStr">
        <is>
          <t>Ventas ↓</t>
        </is>
      </c>
      <c r="I5" s="6" t="inlineStr">
        <is>
          <t>Ventas</t>
        </is>
      </c>
      <c r="J5" s="6" t="inlineStr">
        <is>
          <t>Pasiva</t>
        </is>
      </c>
      <c r="K5" s="6" t="inlineStr">
        <is>
          <t>Pasividad: el contrato venció en 20 días y el hotel cotizó con otro proveedor: perdiste volumen.</t>
        </is>
      </c>
      <c r="L5" s="4" t="n"/>
      <c r="M5" s="4" t="n"/>
      <c r="N5" s="4" t="n"/>
      <c r="O5" s="6" t="inlineStr">
        <is>
          <t>A hotel chain, 18% of your sales, asks for a 3% rebate to renew the contract.</t>
        </is>
      </c>
      <c r="P5" s="6" t="inlineStr">
        <is>
          <t>Ask for more time</t>
        </is>
      </c>
      <c r="Q5" s="6" t="inlineStr">
        <is>
          <t>You ask a month to study the offer; the contract expires in 20 days.</t>
        </is>
      </c>
      <c r="R5" s="6" t="inlineStr">
        <is>
          <t>Sales ↓</t>
        </is>
      </c>
      <c r="S5" s="6" t="inlineStr">
        <is>
          <t>Passivity: the contract expired in 20 days and the hotel quoted another supplier: you lost volume.</t>
        </is>
      </c>
      <c r="T5" s="4" t="n"/>
    </row>
    <row r="6" ht="40.5" customHeight="1">
      <c r="A6" s="6" t="inlineStr">
        <is>
          <t>m01p</t>
        </is>
      </c>
      <c r="B6" s="6" t="inlineStr">
        <is>
          <t>1 a 2</t>
        </is>
      </c>
      <c r="C6" s="6" t="inlineStr">
        <is>
          <t>PLANTA</t>
        </is>
      </c>
      <c r="D6" s="6" t="inlineStr">
        <is>
          <t>HOTELES</t>
        </is>
      </c>
      <c r="E6" s="6" t="inlineStr">
        <is>
          <t>Quedan 3 semanas de insumos clave y en enero entran pedidos grandes.</t>
        </is>
      </c>
      <c r="F6" s="6" t="inlineStr">
        <is>
          <t>Compra escalonada</t>
        </is>
      </c>
      <c r="G6" s="6" t="inlineStr">
        <is>
          <t>Compras en 2 lotes, el segundo a 20 días, y avisas qué pedidos son firmes.</t>
        </is>
      </c>
      <c r="H6" s="6" t="inlineStr">
        <is>
          <t>Costo ↓</t>
        </is>
      </c>
      <c r="I6" s="6" t="inlineStr">
        <is>
          <t>Costo</t>
        </is>
      </c>
      <c r="J6" s="6" t="inlineStr">
        <is>
          <t>Equilibrada</t>
        </is>
      </c>
      <c r="K6" s="6" t="inlineStr">
        <is>
          <t>Equilibrada: compraste en dos lotes y avisaste los pedidos firmes; sin precio spot ni bodega llena.</t>
        </is>
      </c>
      <c r="L6" s="4" t="n"/>
      <c r="M6" s="4" t="n"/>
      <c r="N6" s="4" t="n"/>
      <c r="O6" s="6" t="inlineStr">
        <is>
          <t>Key inputs cover 3 weeks and big orders arrive in January.</t>
        </is>
      </c>
      <c r="P6" s="6" t="inlineStr">
        <is>
          <t>Staggered purchase</t>
        </is>
      </c>
      <c r="Q6" s="6" t="inlineStr">
        <is>
          <t>You buy in 2 lots, the second 20 days out, and flag which orders are firm.</t>
        </is>
      </c>
      <c r="R6" s="6" t="inlineStr">
        <is>
          <t>Cost ↓</t>
        </is>
      </c>
      <c r="S6" s="6" t="inlineStr">
        <is>
          <t>Balanced: you bought in two lots and flagged the firm orders; no spot price and the warehouse under control.</t>
        </is>
      </c>
      <c r="T6" s="4" t="n"/>
    </row>
    <row r="7" ht="27" customHeight="1">
      <c r="A7" s="6" t="inlineStr">
        <is>
          <t>m01p</t>
        </is>
      </c>
      <c r="B7" s="6" t="inlineStr">
        <is>
          <t>1 a 2</t>
        </is>
      </c>
      <c r="C7" s="6" t="inlineStr">
        <is>
          <t>PLANTA</t>
        </is>
      </c>
      <c r="D7" s="6" t="inlineStr">
        <is>
          <t>HOTELES</t>
        </is>
      </c>
      <c r="E7" s="6" t="inlineStr">
        <is>
          <t>Quedan 3 semanas de insumos clave y en enero entran pedidos grandes.</t>
        </is>
      </c>
      <c r="F7" s="6" t="inlineStr">
        <is>
          <t>Producir al límite</t>
        </is>
      </c>
      <c r="G7" s="6" t="inlineStr">
        <is>
          <t>Pides 110% de capacidad a la planta este mes en vez de comprar caro.</t>
        </is>
      </c>
      <c r="H7" s="6" t="inlineStr">
        <is>
          <t>Costo ↓</t>
        </is>
      </c>
      <c r="I7" s="6" t="inlineStr">
        <is>
          <t>Costo</t>
        </is>
      </c>
      <c r="J7" s="6" t="inlineStr">
        <is>
          <t>Atajo</t>
        </is>
      </c>
      <c r="K7" s="6" t="inlineStr">
        <is>
          <t>Atajo: la planta rindió 110% y evitaste la compra cara; el desgaste de las líneas se paga después.</t>
        </is>
      </c>
      <c r="L7" s="4" t="n"/>
      <c r="M7" s="4" t="n"/>
      <c r="N7" s="4" t="n"/>
      <c r="O7" s="6" t="inlineStr">
        <is>
          <t>Key inputs cover 3 weeks and big orders arrive in January.</t>
        </is>
      </c>
      <c r="P7" s="6" t="inlineStr">
        <is>
          <t>Run at the limit</t>
        </is>
      </c>
      <c r="Q7" s="6" t="inlineStr">
        <is>
          <t>You ask the plant for 110% capacity in January instead of buying dear.</t>
        </is>
      </c>
      <c r="R7" s="6" t="inlineStr">
        <is>
          <t>Cost ↓</t>
        </is>
      </c>
      <c r="S7" s="6" t="inlineStr">
        <is>
          <t>Shortcut: the plant ran at 110% and you avoided the costly purchase; the line wear is paid later.</t>
        </is>
      </c>
      <c r="T7" s="4" t="n"/>
    </row>
    <row r="8" ht="40.5" customHeight="1">
      <c r="A8" s="6" t="inlineStr">
        <is>
          <t>m01p</t>
        </is>
      </c>
      <c r="B8" s="6" t="inlineStr">
        <is>
          <t>1 a 2</t>
        </is>
      </c>
      <c r="C8" s="6" t="inlineStr">
        <is>
          <t>PLANTA</t>
        </is>
      </c>
      <c r="D8" s="6" t="inlineStr">
        <is>
          <t>HOTELES</t>
        </is>
      </c>
      <c r="E8" s="6" t="inlineStr">
        <is>
          <t>Quedan 3 semanas de insumos clave y en enero entran pedidos grandes.</t>
        </is>
      </c>
      <c r="F8" s="6" t="inlineStr">
        <is>
          <t>Compra masiva</t>
        </is>
      </c>
      <c r="G8" s="6" t="inlineStr">
        <is>
          <t>Compras 3 meses de insumos a precio spot y atiendes cualquier demanda.</t>
        </is>
      </c>
      <c r="H8" s="6" t="inlineStr">
        <is>
          <t>Costo ↑</t>
        </is>
      </c>
      <c r="I8" s="6" t="inlineStr">
        <is>
          <t>Costo</t>
        </is>
      </c>
      <c r="J8" s="6" t="inlineStr">
        <is>
          <t>Ceder</t>
        </is>
      </c>
      <c r="K8" s="6" t="inlineStr">
        <is>
          <t>Cesión: compraste 3 meses a precio spot. Atendiste todo, con la bodega llena y el costo más alto del año.</t>
        </is>
      </c>
      <c r="L8" s="4" t="n"/>
      <c r="M8" s="4" t="n"/>
      <c r="N8" s="4" t="n"/>
      <c r="O8" s="6" t="inlineStr">
        <is>
          <t>Key inputs cover 3 weeks and big orders arrive in January.</t>
        </is>
      </c>
      <c r="P8" s="6" t="inlineStr">
        <is>
          <t>Bulk purchase</t>
        </is>
      </c>
      <c r="Q8" s="6" t="inlineStr">
        <is>
          <t>You buy 3 months of inputs at spot price and cover any demand.</t>
        </is>
      </c>
      <c r="R8" s="6" t="inlineStr">
        <is>
          <t>Cost ↑</t>
        </is>
      </c>
      <c r="S8" s="6" t="inlineStr">
        <is>
          <t>Concession: you bought 3 months at spot: everything served, a full warehouse and the highest cost.</t>
        </is>
      </c>
      <c r="T8" s="4" t="n"/>
    </row>
    <row r="9" ht="40.5" customHeight="1">
      <c r="A9" s="6" t="inlineStr">
        <is>
          <t>m01p</t>
        </is>
      </c>
      <c r="B9" s="6" t="inlineStr">
        <is>
          <t>1 a 2</t>
        </is>
      </c>
      <c r="C9" s="6" t="inlineStr">
        <is>
          <t>PLANTA</t>
        </is>
      </c>
      <c r="D9" s="6" t="inlineStr">
        <is>
          <t>HOTELES</t>
        </is>
      </c>
      <c r="E9" s="6" t="inlineStr">
        <is>
          <t>Quedan 3 semanas de insumos clave y en enero entran pedidos grandes.</t>
        </is>
      </c>
      <c r="F9" s="6" t="inlineStr">
        <is>
          <t>Posponer compra</t>
        </is>
      </c>
      <c r="G9" s="6" t="inlineStr">
        <is>
          <t>Pospones la compra a la revisión de inventario de fin de ciclo.</t>
        </is>
      </c>
      <c r="H9" s="6" t="inlineStr">
        <is>
          <t>Ventas ↓ · Costo ↑</t>
        </is>
      </c>
      <c r="I9" s="6" t="inlineStr">
        <is>
          <t>Costo</t>
        </is>
      </c>
      <c r="J9" s="6" t="inlineStr">
        <is>
          <t>Pasiva</t>
        </is>
      </c>
      <c r="K9" s="6" t="inlineStr">
        <is>
          <t>Pasividad: esperaste y en enero faltó insumo; perdiste pedidos de temporada alta y compraste de emergencia.</t>
        </is>
      </c>
      <c r="L9" s="4" t="n"/>
      <c r="M9" s="4" t="n"/>
      <c r="N9" s="4" t="n"/>
      <c r="O9" s="6" t="inlineStr">
        <is>
          <t>Key inputs cover 3 weeks and big orders arrive in January.</t>
        </is>
      </c>
      <c r="P9" s="6" t="inlineStr">
        <is>
          <t>Delay the purchase</t>
        </is>
      </c>
      <c r="Q9" s="6" t="inlineStr">
        <is>
          <t>You postpone buying to the inventory review at cycle end.</t>
        </is>
      </c>
      <c r="R9" s="6" t="inlineStr">
        <is>
          <t>Sales ↓ · Cost ↑</t>
        </is>
      </c>
      <c r="S9" s="6" t="inlineStr">
        <is>
          <t>Passivity: you waited and in January supplies ran out; you lost high-season orders and bought in an emergency.</t>
        </is>
      </c>
      <c r="T9" s="4" t="n"/>
    </row>
    <row r="10" ht="40.5" customHeight="1">
      <c r="A10" s="6" t="inlineStr">
        <is>
          <t>m01e</t>
        </is>
      </c>
      <c r="B10" s="6" t="inlineStr">
        <is>
          <t>1 a 4</t>
        </is>
      </c>
      <c r="C10" s="6" t="inlineStr">
        <is>
          <t>ENTORNO</t>
        </is>
      </c>
      <c r="D10" s="6" t="inlineStr">
        <is>
          <t>INDUSTRIA</t>
        </is>
      </c>
      <c r="E10" s="6" t="inlineStr">
        <is>
          <t>El dólar está 7% sobre el presupuesto y 40% de tus insumos son importados.</t>
        </is>
      </c>
      <c r="F10" s="6" t="inlineStr">
        <is>
          <t>Reajuste por dólar</t>
        </is>
      </c>
      <c r="G10" s="6" t="inlineStr">
        <is>
          <t>Pactas por escrito un reajuste según el dólar y compras a plazo la mitad.</t>
        </is>
      </c>
      <c r="H10" s="6" t="inlineStr">
        <is>
          <t>Ventas ↑ · Costo ↓</t>
        </is>
      </c>
      <c r="I10" s="6" t="inlineStr">
        <is>
          <t>Costo</t>
        </is>
      </c>
      <c r="J10" s="6" t="inlineStr">
        <is>
          <t>Equilibrada</t>
        </is>
      </c>
      <c r="K10" s="6" t="inlineStr">
        <is>
          <t>Equilibrada: pactaste el reajuste por escrito y cubriste la mitad de la compra; el margen queda protegido.</t>
        </is>
      </c>
      <c r="L10" s="4" t="n"/>
      <c r="M10" s="4" t="n"/>
      <c r="N10" s="4" t="n"/>
      <c r="O10" s="6" t="inlineStr">
        <is>
          <t>The dollar is 7% above budget and 40% of your inputs are imported.</t>
        </is>
      </c>
      <c r="P10" s="6" t="inlineStr">
        <is>
          <t>Dollar adjustment</t>
        </is>
      </c>
      <c r="Q10" s="6" t="inlineStr">
        <is>
          <t>You agree in writing a dollar-linked adjustment and buy half forward.</t>
        </is>
      </c>
      <c r="R10" s="6" t="inlineStr">
        <is>
          <t>Sales ↑ · Cost ↓</t>
        </is>
      </c>
      <c r="S10" s="6" t="inlineStr">
        <is>
          <t>Balanced: you agreed the adjustment in writing and covered half the purchase; the margin stays protected.</t>
        </is>
      </c>
      <c r="T10" s="4" t="n"/>
    </row>
    <row r="11" ht="40.5" customHeight="1">
      <c r="A11" s="6" t="inlineStr">
        <is>
          <t>m01e</t>
        </is>
      </c>
      <c r="B11" s="6" t="inlineStr">
        <is>
          <t>1 a 4</t>
        </is>
      </c>
      <c r="C11" s="6" t="inlineStr">
        <is>
          <t>ENTORNO</t>
        </is>
      </c>
      <c r="D11" s="6" t="inlineStr">
        <is>
          <t>INDUSTRIA</t>
        </is>
      </c>
      <c r="E11" s="6" t="inlineStr">
        <is>
          <t>El dólar está 7% sobre el presupuesto y 40% de tus insumos son importados.</t>
        </is>
      </c>
      <c r="F11" s="6" t="inlineStr">
        <is>
          <t>Alza de precios</t>
        </is>
      </c>
      <c r="G11" s="6" t="inlineStr">
        <is>
          <t>Aplicas un alza de 3% desde mañana, también a los contratos vigentes.</t>
        </is>
      </c>
      <c r="H11" s="6" t="inlineStr">
        <is>
          <t>Ventas ↑ · SG&amp;A ↑ · LÍNEA ROJA</t>
        </is>
      </c>
      <c r="I11" s="6" t="inlineStr">
        <is>
          <t>Ventas</t>
        </is>
      </c>
      <c r="J11" s="6" t="inlineStr">
        <is>
          <t>Atajo</t>
        </is>
      </c>
      <c r="K11" s="6" t="inlineStr">
        <is>
          <t>Línea roja: subiste un precio fijado por contrato. Es incumplimiento: multa y clientes en contra.</t>
        </is>
      </c>
      <c r="L11" s="4" t="n"/>
      <c r="M11" s="4" t="n"/>
      <c r="N11" s="4" t="n"/>
      <c r="O11" s="6" t="inlineStr">
        <is>
          <t>The dollar is 7% above budget and 40% of your inputs are imported.</t>
        </is>
      </c>
      <c r="P11" s="6" t="inlineStr">
        <is>
          <t>Price hike</t>
        </is>
      </c>
      <c r="Q11" s="6" t="inlineStr">
        <is>
          <t>You apply a 3% rise from tomorrow, existing contracts included.</t>
        </is>
      </c>
      <c r="R11" s="6" t="inlineStr">
        <is>
          <t>Sales ↑ · SG&amp;A ↑ · RED LINE</t>
        </is>
      </c>
      <c r="S11" s="6" t="inlineStr">
        <is>
          <t>Red line: you raised a contract-fixed price. It is a breach: a fine and clients against you.</t>
        </is>
      </c>
      <c r="T11" s="4" t="n"/>
    </row>
    <row r="12" ht="40.5" customHeight="1">
      <c r="A12" s="6" t="inlineStr">
        <is>
          <t>m01e</t>
        </is>
      </c>
      <c r="B12" s="6" t="inlineStr">
        <is>
          <t>1 a 4</t>
        </is>
      </c>
      <c r="C12" s="6" t="inlineStr">
        <is>
          <t>ENTORNO</t>
        </is>
      </c>
      <c r="D12" s="6" t="inlineStr">
        <is>
          <t>INDUSTRIA</t>
        </is>
      </c>
      <c r="E12" s="6" t="inlineStr">
        <is>
          <t>El dólar está 7% sobre el presupuesto y 40% de tus insumos son importados.</t>
        </is>
      </c>
      <c r="F12" s="6" t="inlineStr">
        <is>
          <t>Absorber el golpe</t>
        </is>
      </c>
      <c r="G12" s="6" t="inlineStr">
        <is>
          <t>Dejas precios y compras igual para que el margen pague el alza de 7%.</t>
        </is>
      </c>
      <c r="H12" s="6" t="inlineStr">
        <is>
          <t>Costo ↑</t>
        </is>
      </c>
      <c r="I12" s="6" t="inlineStr">
        <is>
          <t>Costo</t>
        </is>
      </c>
      <c r="J12" s="6" t="inlineStr">
        <is>
          <t>Ceder</t>
        </is>
      </c>
      <c r="K12" s="6" t="inlineStr">
        <is>
          <t>Cesión: dejaste precios y compras como estaban y el margen pagó el alza del dólar completa.</t>
        </is>
      </c>
      <c r="L12" s="4" t="n"/>
      <c r="M12" s="4" t="n"/>
      <c r="N12" s="4" t="n"/>
      <c r="O12" s="6" t="inlineStr">
        <is>
          <t>The dollar is 7% above budget and 40% of your inputs are imported.</t>
        </is>
      </c>
      <c r="P12" s="6" t="inlineStr">
        <is>
          <t>Absorb the hit</t>
        </is>
      </c>
      <c r="Q12" s="6" t="inlineStr">
        <is>
          <t>You leave prices and purchases as they are so the margin pays the 7% rise.</t>
        </is>
      </c>
      <c r="R12" s="6" t="inlineStr">
        <is>
          <t>Cost ↑</t>
        </is>
      </c>
      <c r="S12" s="6" t="inlineStr">
        <is>
          <t>Concession: you left prices and purchases as they were and the margin paid for the full rise of the dollar.</t>
        </is>
      </c>
      <c r="T12" s="4" t="n"/>
    </row>
    <row r="13" ht="40.5" customHeight="1">
      <c r="A13" s="6" t="inlineStr">
        <is>
          <t>m01e</t>
        </is>
      </c>
      <c r="B13" s="6" t="inlineStr">
        <is>
          <t>1 a 4</t>
        </is>
      </c>
      <c r="C13" s="6" t="inlineStr">
        <is>
          <t>ENTORNO</t>
        </is>
      </c>
      <c r="D13" s="6" t="inlineStr">
        <is>
          <t>INDUSTRIA</t>
        </is>
      </c>
      <c r="E13" s="6" t="inlineStr">
        <is>
          <t>El dólar está 7% sobre el presupuesto y 40% de tus insumos son importados.</t>
        </is>
      </c>
      <c r="F13" s="6" t="inlineStr">
        <is>
          <t>Analizar al cierre</t>
        </is>
      </c>
      <c r="G13" s="6" t="inlineStr">
        <is>
          <t>Analizas el efecto del dólar con los números del cierre, a 3 meses.</t>
        </is>
      </c>
      <c r="H13" s="6" t="inlineStr">
        <is>
          <t>Costo ↑</t>
        </is>
      </c>
      <c r="I13" s="6" t="inlineStr">
        <is>
          <t>Costo</t>
        </is>
      </c>
      <c r="J13" s="6" t="inlineStr">
        <is>
          <t>Pasiva</t>
        </is>
      </c>
      <c r="K13" s="6" t="inlineStr">
        <is>
          <t>Pasividad: esperaste el cierre para analizar y el dólar siguió subiendo sobre un costo sin cubrir.</t>
        </is>
      </c>
      <c r="L13" s="4" t="n"/>
      <c r="M13" s="4" t="n"/>
      <c r="N13" s="4" t="n"/>
      <c r="O13" s="6" t="inlineStr">
        <is>
          <t>The dollar is 7% above budget and 40% of your inputs are imported.</t>
        </is>
      </c>
      <c r="P13" s="6" t="inlineStr">
        <is>
          <t>Check at close</t>
        </is>
      </c>
      <c r="Q13" s="6" t="inlineStr">
        <is>
          <t>You analyze the dollar effect with the close numbers, 3 months out.</t>
        </is>
      </c>
      <c r="R13" s="6" t="inlineStr">
        <is>
          <t>Cost ↑</t>
        </is>
      </c>
      <c r="S13" s="6" t="inlineStr">
        <is>
          <t>Passivity: you waited for the close to analyze it and the dollar kept rising on an uncovered cost.</t>
        </is>
      </c>
      <c r="T13" s="4" t="n"/>
    </row>
    <row r="14" ht="40.5" customHeight="1">
      <c r="A14" s="6" t="inlineStr">
        <is>
          <t>m01s</t>
        </is>
      </c>
      <c r="B14" s="6" t="inlineStr">
        <is>
          <t>1 a 3</t>
        </is>
      </c>
      <c r="C14" s="6" t="inlineStr">
        <is>
          <t>ESTRATEGIA</t>
        </is>
      </c>
      <c r="D14" s="6" t="inlineStr">
        <is>
          <t>HOSPITALES</t>
        </is>
      </c>
      <c r="E14" s="6" t="inlineStr">
        <is>
          <t>Corporativo pide 6% más de volumen; el ahorro de tus clientes sigue sin medir.</t>
        </is>
      </c>
      <c r="F14" s="6" t="inlineStr">
        <is>
          <t>Medir el ahorro</t>
        </is>
      </c>
      <c r="G14" s="6" t="inlineStr">
        <is>
          <t>Documentas el ahorro del agua de 3 clientes y negocias después con datos.</t>
        </is>
      </c>
      <c r="H14" s="6" t="inlineStr">
        <is>
          <t>Ventas ↑ · SG&amp;A ↑</t>
        </is>
      </c>
      <c r="I14" s="6" t="inlineStr">
        <is>
          <t>Ventas</t>
        </is>
      </c>
      <c r="J14" s="6" t="inlineStr">
        <is>
          <t>Equilibrada</t>
        </is>
      </c>
      <c r="K14" s="6" t="inlineStr">
        <is>
          <t>Equilibrada: mediste el ahorro en 3 hospitales y ahora negocias con datos; esa evidencia sostiene tus precios.</t>
        </is>
      </c>
      <c r="L14" s="4" t="n"/>
      <c r="M14" s="4" t="n"/>
      <c r="N14" s="4" t="n"/>
      <c r="O14" s="6" t="inlineStr">
        <is>
          <t>Corporate asks for 6% more volume; your clients' savings remain unmeasured.</t>
        </is>
      </c>
      <c r="P14" s="6" t="inlineStr">
        <is>
          <t>Measure the savings</t>
        </is>
      </c>
      <c r="Q14" s="6" t="inlineStr">
        <is>
          <t>You document the water savings of 3 clients and negotiate with data later.</t>
        </is>
      </c>
      <c r="R14" s="6" t="inlineStr">
        <is>
          <t>Sales ↑ · SG&amp;A ↑</t>
        </is>
      </c>
      <c r="S14" s="6" t="inlineStr">
        <is>
          <t>Balanced: you measured the savings at 3 hospitals and negotiate with data that backs your prices.</t>
        </is>
      </c>
      <c r="T14" s="4" t="n"/>
    </row>
    <row r="15" ht="40.5" customHeight="1">
      <c r="A15" s="6" t="inlineStr">
        <is>
          <t>m01s</t>
        </is>
      </c>
      <c r="B15" s="6" t="inlineStr">
        <is>
          <t>1 a 3</t>
        </is>
      </c>
      <c r="C15" s="6" t="inlineStr">
        <is>
          <t>ESTRATEGIA</t>
        </is>
      </c>
      <c r="D15" s="6" t="inlineStr">
        <is>
          <t>HOSPITALES</t>
        </is>
      </c>
      <c r="E15" s="6" t="inlineStr">
        <is>
          <t>Corporativo pide 6% más de volumen; el ahorro de tus clientes sigue sin medir.</t>
        </is>
      </c>
      <c r="F15" s="6" t="inlineStr">
        <is>
          <t>Empujar volumen</t>
        </is>
      </c>
      <c r="G15" s="6" t="inlineStr">
        <is>
          <t>Ofreces 4% de descuento en pedidos extra para llegar al 6% de corporativo.</t>
        </is>
      </c>
      <c r="H15" s="6" t="inlineStr">
        <is>
          <t>Ventas ↑ · Incentivos ↑</t>
        </is>
      </c>
      <c r="I15" s="6" t="inlineStr">
        <is>
          <t>Ventas</t>
        </is>
      </c>
      <c r="J15" s="6" t="inlineStr">
        <is>
          <t>Atajo</t>
        </is>
      </c>
      <c r="K15" s="6" t="inlineStr">
        <is>
          <t>Atajo: el descuento da volumen hoy, pero sin ahorro medido solo se compara precio; la cuenta llega.</t>
        </is>
      </c>
      <c r="L15" s="4" t="n"/>
      <c r="M15" s="4" t="n"/>
      <c r="N15" s="4" t="n"/>
      <c r="O15" s="6" t="inlineStr">
        <is>
          <t>Corporate asks for 6% more volume; your clients' savings remain unmeasured.</t>
        </is>
      </c>
      <c r="P15" s="6" t="inlineStr">
        <is>
          <t>Push volume</t>
        </is>
      </c>
      <c r="Q15" s="6" t="inlineStr">
        <is>
          <t>You offer 4% off on extra orders to reach corporate's 6%.</t>
        </is>
      </c>
      <c r="R15" s="6" t="inlineStr">
        <is>
          <t>Sales ↑ · Incentives ↑</t>
        </is>
      </c>
      <c r="S15" s="6" t="inlineStr">
        <is>
          <t>Shortcut: the discount brings volume now, but unmeasured savings leave only price to compare.</t>
        </is>
      </c>
      <c r="T15" s="4" t="n"/>
    </row>
    <row r="16" ht="40.5" customHeight="1">
      <c r="A16" s="6" t="inlineStr">
        <is>
          <t>m01s</t>
        </is>
      </c>
      <c r="B16" s="6" t="inlineStr">
        <is>
          <t>1 a 3</t>
        </is>
      </c>
      <c r="C16" s="6" t="inlineStr">
        <is>
          <t>ESTRATEGIA</t>
        </is>
      </c>
      <c r="D16" s="6" t="inlineStr">
        <is>
          <t>HOSPITALES</t>
        </is>
      </c>
      <c r="E16" s="6" t="inlineStr">
        <is>
          <t>Corporativo pide 6% más de volumen; el ahorro de tus clientes sigue sin medir.</t>
        </is>
      </c>
      <c r="F16" s="6" t="inlineStr">
        <is>
          <t>Plan de corporativo</t>
        </is>
      </c>
      <c r="G16" s="6" t="inlineStr">
        <is>
          <t>Aplicas con rigor el plan de volumen de corporativo; la medición queda en pausa.</t>
        </is>
      </c>
      <c r="H16" s="6" t="inlineStr">
        <is>
          <t>SG&amp;A ↑</t>
        </is>
      </c>
      <c r="I16" s="6" t="inlineStr">
        <is>
          <t>SG&amp;A</t>
        </is>
      </c>
      <c r="J16" s="6" t="inlineStr">
        <is>
          <t>Ceder</t>
        </is>
      </c>
      <c r="K16" s="6" t="inlineStr">
        <is>
          <t>Cesión: ejecutaste el plan de volumen sin medir nada; empujas ventas sin poder defender tu precio.</t>
        </is>
      </c>
      <c r="L16" s="4" t="n"/>
      <c r="M16" s="4" t="n"/>
      <c r="N16" s="4" t="n"/>
      <c r="O16" s="6" t="inlineStr">
        <is>
          <t>Corporate asks for 6% more volume; your clients' savings remain unmeasured.</t>
        </is>
      </c>
      <c r="P16" s="6" t="inlineStr">
        <is>
          <t>Corporate's plan</t>
        </is>
      </c>
      <c r="Q16" s="6" t="inlineStr">
        <is>
          <t>You apply corporate's volume plan strictly; measurement stays on hold.</t>
        </is>
      </c>
      <c r="R16" s="6" t="inlineStr">
        <is>
          <t>SG&amp;A ↑</t>
        </is>
      </c>
      <c r="S16" s="6" t="inlineStr">
        <is>
          <t>Concession: you ran the volume plan without measuring; sales rise but you cannot defend your price.</t>
        </is>
      </c>
      <c r="T16" s="4" t="n"/>
    </row>
    <row r="17" ht="40.5" customHeight="1">
      <c r="A17" s="6" t="inlineStr">
        <is>
          <t>m01s</t>
        </is>
      </c>
      <c r="B17" s="6" t="inlineStr">
        <is>
          <t>1 a 3</t>
        </is>
      </c>
      <c r="C17" s="6" t="inlineStr">
        <is>
          <t>ESTRATEGIA</t>
        </is>
      </c>
      <c r="D17" s="6" t="inlineStr">
        <is>
          <t>HOSPITALES</t>
        </is>
      </c>
      <c r="E17" s="6" t="inlineStr">
        <is>
          <t>Corporativo pide 6% más de volumen; el ahorro de tus clientes sigue sin medir.</t>
        </is>
      </c>
      <c r="F17" s="6" t="inlineStr">
        <is>
          <t>Posponer ambas</t>
        </is>
      </c>
      <c r="G17" s="6" t="inlineStr">
        <is>
          <t>Postergas ambas ideas por 3 meses, hasta que el año tome ritmo.</t>
        </is>
      </c>
      <c r="H17" s="6" t="inlineStr">
        <is>
          <t>Ventas ↓</t>
        </is>
      </c>
      <c r="I17" s="6" t="inlineStr">
        <is>
          <t>Ventas</t>
        </is>
      </c>
      <c r="J17" s="6" t="inlineStr">
        <is>
          <t>Pasiva</t>
        </is>
      </c>
      <c r="K17" s="6" t="inlineStr">
        <is>
          <t>Pasividad: postergaste el volumen y la medición; sin evidencia ni ventas extra, el año parte sin ritmo.</t>
        </is>
      </c>
      <c r="L17" s="4" t="n"/>
      <c r="M17" s="4" t="n"/>
      <c r="N17" s="4" t="n"/>
      <c r="O17" s="6" t="inlineStr">
        <is>
          <t>Corporate asks for 6% more volume; your clients' savings remain unmeasured.</t>
        </is>
      </c>
      <c r="P17" s="6" t="inlineStr">
        <is>
          <t>Postpone both</t>
        </is>
      </c>
      <c r="Q17" s="6" t="inlineStr">
        <is>
          <t>You park both ideas for about 3 months, until the year gets going.</t>
        </is>
      </c>
      <c r="R17" s="6" t="inlineStr">
        <is>
          <t>Sales ↓</t>
        </is>
      </c>
      <c r="S17" s="6" t="inlineStr">
        <is>
          <t>Passivity: you postponed volume and measuring; no evidence, no extra sales, a slow start.</t>
        </is>
      </c>
      <c r="T17" s="4" t="n"/>
    </row>
    <row r="18" ht="40.5" customHeight="1">
      <c r="A18" s="6" t="inlineStr">
        <is>
          <t>m02c</t>
        </is>
      </c>
      <c r="B18" s="6" t="inlineStr">
        <is>
          <t>Cualquiera</t>
        </is>
      </c>
      <c r="C18" s="6" t="inlineStr">
        <is>
          <t>CLIENTE</t>
        </is>
      </c>
      <c r="D18" s="6" t="inlineStr">
        <is>
          <t>ALIMENTOS</t>
        </is>
      </c>
      <c r="E18" s="6" t="inlineStr">
        <is>
          <t>Un cliente, 12% de tus ventas, pide otra especificación con 2 semanas de aviso.</t>
        </is>
      </c>
      <c r="F18" s="6" t="inlineStr">
        <is>
          <t>Prueba corta</t>
        </is>
      </c>
      <c r="G18" s="6" t="inlineStr">
        <is>
          <t>Haces una prueba de 3 días y pides al cliente acordar una fecha realista.</t>
        </is>
      </c>
      <c r="H18" s="6" t="inlineStr">
        <is>
          <t>Costo ↓ · Direct Chg ↑</t>
        </is>
      </c>
      <c r="I18" s="6" t="inlineStr">
        <is>
          <t>Costo</t>
        </is>
      </c>
      <c r="J18" s="6" t="inlineStr">
        <is>
          <t>Equilibrada</t>
        </is>
      </c>
      <c r="K18" s="6" t="inlineStr">
        <is>
          <t>Equilibrada: la prueba de 3 días evitó un lote rechazado y acordaste una fecha realista con su auditor.</t>
        </is>
      </c>
      <c r="L18" s="4" t="n"/>
      <c r="M18" s="4" t="n"/>
      <c r="N18" s="4" t="n"/>
      <c r="O18" s="6" t="inlineStr">
        <is>
          <t>A client, 12% of your sales, asks for a new spec with 2 weeks' notice.</t>
        </is>
      </c>
      <c r="P18" s="6" t="inlineStr">
        <is>
          <t>Short trial</t>
        </is>
      </c>
      <c r="Q18" s="6" t="inlineStr">
        <is>
          <t>You run a 3-day trial and get the client to agree on a realistic date.</t>
        </is>
      </c>
      <c r="R18" s="6" t="inlineStr">
        <is>
          <t>Cost ↓ · Direct Chg ↑</t>
        </is>
      </c>
      <c r="S18" s="6" t="inlineStr">
        <is>
          <t>Balanced: the 3-day test avoided a rejected batch and you agreed a realistic date with its auditor.</t>
        </is>
      </c>
      <c r="T18" s="4" t="n"/>
    </row>
    <row r="19" ht="40.5" customHeight="1">
      <c r="A19" s="6" t="inlineStr">
        <is>
          <t>m02c</t>
        </is>
      </c>
      <c r="B19" s="6" t="inlineStr">
        <is>
          <t>Cualquiera</t>
        </is>
      </c>
      <c r="C19" s="6" t="inlineStr">
        <is>
          <t>CLIENTE</t>
        </is>
      </c>
      <c r="D19" s="6" t="inlineStr">
        <is>
          <t>ALIMENTOS</t>
        </is>
      </c>
      <c r="E19" s="6" t="inlineStr">
        <is>
          <t>Un cliente, 12% de tus ventas, pide otra especificación con 2 semanas de aviso.</t>
        </is>
      </c>
      <c r="F19" s="6" t="inlineStr">
        <is>
          <t>Cambiar la fórmula</t>
        </is>
      </c>
      <c r="G19" s="6" t="inlineStr">
        <is>
          <t>Cambias la fórmula con el stock de bodega y despachas en 2 semanas.</t>
        </is>
      </c>
      <c r="H19" s="6" t="inlineStr">
        <is>
          <t>Costo ↓</t>
        </is>
      </c>
      <c r="I19" s="6" t="inlineStr">
        <is>
          <t>Costo</t>
        </is>
      </c>
      <c r="J19" s="6" t="inlineStr">
        <is>
          <t>Atajo</t>
        </is>
      </c>
      <c r="K19" s="6" t="inlineStr">
        <is>
          <t>Atajo: usaste stock de bodega y despachaste a tiempo; si la fórmula no pasa su auditoría, hay reclamo.</t>
        </is>
      </c>
      <c r="L19" s="4" t="n"/>
      <c r="M19" s="4" t="n"/>
      <c r="N19" s="4" t="n"/>
      <c r="O19" s="6" t="inlineStr">
        <is>
          <t>A client, 12% of your sales, asks for a new spec with 2 weeks' notice.</t>
        </is>
      </c>
      <c r="P19" s="6" t="inlineStr">
        <is>
          <t>Change the formula</t>
        </is>
      </c>
      <c r="Q19" s="6" t="inlineStr">
        <is>
          <t>You change the formula with warehouse stock and ship in 2 weeks.</t>
        </is>
      </c>
      <c r="R19" s="6" t="inlineStr">
        <is>
          <t>Cost ↓</t>
        </is>
      </c>
      <c r="S19" s="6" t="inlineStr">
        <is>
          <t>Shortcut: you used warehouse stock and shipped on time; if the formula fails its audit, the claim comes later.</t>
        </is>
      </c>
      <c r="T19" s="4" t="n"/>
    </row>
    <row r="20" ht="40.5" customHeight="1">
      <c r="A20" s="6" t="inlineStr">
        <is>
          <t>m02c</t>
        </is>
      </c>
      <c r="B20" s="6" t="inlineStr">
        <is>
          <t>Cualquiera</t>
        </is>
      </c>
      <c r="C20" s="6" t="inlineStr">
        <is>
          <t>CLIENTE</t>
        </is>
      </c>
      <c r="D20" s="6" t="inlineStr">
        <is>
          <t>ALIMENTOS</t>
        </is>
      </c>
      <c r="E20" s="6" t="inlineStr">
        <is>
          <t>Un cliente, 12% de tus ventas, pide otra especificación con 2 semanas de aviso.</t>
        </is>
      </c>
      <c r="F20" s="6" t="inlineStr">
        <is>
          <t>Aceptar lo pedido</t>
        </is>
      </c>
      <c r="G20" s="6" t="inlineStr">
        <is>
          <t>Aceptas la fecha de 2 semanas y absorbes el costo extra de planta.</t>
        </is>
      </c>
      <c r="H20" s="6" t="inlineStr">
        <is>
          <t>Costo ↑</t>
        </is>
      </c>
      <c r="I20" s="6" t="inlineStr">
        <is>
          <t>Costo</t>
        </is>
      </c>
      <c r="J20" s="6" t="inlineStr">
        <is>
          <t>Ceder</t>
        </is>
      </c>
      <c r="K20" s="6" t="inlineStr">
        <is>
          <t>Cesión: aceptaste las 2 semanas y absorbiste el costo extra: el cliente quedó contento y el margen pagó.</t>
        </is>
      </c>
      <c r="L20" s="4" t="n"/>
      <c r="M20" s="4" t="n"/>
      <c r="N20" s="4" t="n"/>
      <c r="O20" s="6" t="inlineStr">
        <is>
          <t>A client, 12% of your sales, asks for a new spec with 2 weeks' notice.</t>
        </is>
      </c>
      <c r="P20" s="6" t="inlineStr">
        <is>
          <t>Accept the request</t>
        </is>
      </c>
      <c r="Q20" s="6" t="inlineStr">
        <is>
          <t>You accept the 2-week date and take on the extra plant cost.</t>
        </is>
      </c>
      <c r="R20" s="6" t="inlineStr">
        <is>
          <t>Cost ↑</t>
        </is>
      </c>
      <c r="S20" s="6" t="inlineStr">
        <is>
          <t>Concession: you accepted the 2 weeks and absorbed the extra cost: the client is happy and the margin paid.</t>
        </is>
      </c>
      <c r="T20" s="4" t="n"/>
    </row>
    <row r="21" ht="40.5" customHeight="1">
      <c r="A21" s="6" t="inlineStr">
        <is>
          <t>m02c</t>
        </is>
      </c>
      <c r="B21" s="6" t="inlineStr">
        <is>
          <t>Cualquiera</t>
        </is>
      </c>
      <c r="C21" s="6" t="inlineStr">
        <is>
          <t>CLIENTE</t>
        </is>
      </c>
      <c r="D21" s="6" t="inlineStr">
        <is>
          <t>ALIMENTOS</t>
        </is>
      </c>
      <c r="E21" s="6" t="inlineStr">
        <is>
          <t>Un cliente, 12% de tus ventas, pide otra especificación con 2 semanas de aviso.</t>
        </is>
      </c>
      <c r="F21" s="6" t="inlineStr">
        <is>
          <t>Responder el lunes</t>
        </is>
      </c>
      <c r="G21" s="6" t="inlineStr">
        <is>
          <t>Lo llevas a la reunión comercial del lunes y respondes en una semana.</t>
        </is>
      </c>
      <c r="H21" s="6" t="inlineStr">
        <is>
          <t>Ventas ↓</t>
        </is>
      </c>
      <c r="I21" s="6" t="inlineStr">
        <is>
          <t>Ventas</t>
        </is>
      </c>
      <c r="J21" s="6" t="inlineStr">
        <is>
          <t>Pasiva</t>
        </is>
      </c>
      <c r="K21" s="6" t="inlineStr">
        <is>
          <t>Pasividad: tardaste una semana en responder y la planta cotizó la fórmula con otro proveedor.</t>
        </is>
      </c>
      <c r="L21" s="4" t="n"/>
      <c r="M21" s="4" t="n"/>
      <c r="N21" s="4" t="n"/>
      <c r="O21" s="6" t="inlineStr">
        <is>
          <t>A client, 12% of your sales, asks for a new spec with 2 weeks' notice.</t>
        </is>
      </c>
      <c r="P21" s="6" t="inlineStr">
        <is>
          <t>Answer on Monday</t>
        </is>
      </c>
      <c r="Q21" s="6" t="inlineStr">
        <is>
          <t>You take it to Monday's sales meeting and answer within a week.</t>
        </is>
      </c>
      <c r="R21" s="6" t="inlineStr">
        <is>
          <t>Sales ↓</t>
        </is>
      </c>
      <c r="S21" s="6" t="inlineStr">
        <is>
          <t>Passivity: you took a week to answer and the plant quoted the formula with another supplier.</t>
        </is>
      </c>
      <c r="T21" s="4" t="n"/>
    </row>
    <row r="22" ht="40.5" customHeight="1">
      <c r="A22" s="6" t="inlineStr">
        <is>
          <t>m02p</t>
        </is>
      </c>
      <c r="B22" s="6" t="inlineStr">
        <is>
          <t>Cualquiera</t>
        </is>
      </c>
      <c r="C22" s="6" t="inlineStr">
        <is>
          <t>PLANTA</t>
        </is>
      </c>
      <c r="D22" s="6" t="inlineStr">
        <is>
          <t>HOSPITALES</t>
        </is>
      </c>
      <c r="E22" s="6" t="inlineStr">
        <is>
          <t>Toca la mantención mayor, con 4 días de línea parada, y hay pedidos urgentes.</t>
        </is>
      </c>
      <c r="F22" s="6" t="inlineStr">
        <is>
          <t>Mantención parcial</t>
        </is>
      </c>
      <c r="G22" s="6" t="inlineStr">
        <is>
          <t>Paras media línea en turnos, con 2 semanas de plazo, y repartes lo urgente.</t>
        </is>
      </c>
      <c r="H22" s="6" t="inlineStr">
        <is>
          <t>Ventas ↑ · Costo ↓</t>
        </is>
      </c>
      <c r="I22" s="6" t="inlineStr">
        <is>
          <t>Costo</t>
        </is>
      </c>
      <c r="J22" s="6" t="inlineStr">
        <is>
          <t>Equilibrada</t>
        </is>
      </c>
      <c r="K22" s="6" t="inlineStr">
        <is>
          <t>Equilibrada: la mantención por turnos cubrió los pedidos críticos de los hospitales y evitó una falla mayor.</t>
        </is>
      </c>
      <c r="L22" s="4" t="n"/>
      <c r="M22" s="4" t="n"/>
      <c r="N22" s="4" t="n"/>
      <c r="O22" s="6" t="inlineStr">
        <is>
          <t>Major maintenance is due (4 days stopped) and urgent orders are in.</t>
        </is>
      </c>
      <c r="P22" s="6" t="inlineStr">
        <is>
          <t>Partial maintenance</t>
        </is>
      </c>
      <c r="Q22" s="6" t="inlineStr">
        <is>
          <t>You stop half the line in shifts for 8 days and split the urgent orders.</t>
        </is>
      </c>
      <c r="R22" s="6" t="inlineStr">
        <is>
          <t>Sales ↑ · Cost ↓</t>
        </is>
      </c>
      <c r="S22" s="6" t="inlineStr">
        <is>
          <t>Balanced: the shift-based maintenance covered the critical orders of the hospitals and avoided a major failure.</t>
        </is>
      </c>
      <c r="T22" s="4" t="n"/>
    </row>
    <row r="23" ht="40.5" customHeight="1">
      <c r="A23" s="6" t="inlineStr">
        <is>
          <t>m02p</t>
        </is>
      </c>
      <c r="B23" s="6" t="inlineStr">
        <is>
          <t>Cualquiera</t>
        </is>
      </c>
      <c r="C23" s="6" t="inlineStr">
        <is>
          <t>PLANTA</t>
        </is>
      </c>
      <c r="D23" s="6" t="inlineStr">
        <is>
          <t>HOSPITALES</t>
        </is>
      </c>
      <c r="E23" s="6" t="inlineStr">
        <is>
          <t>Toca la mantención mayor, con 4 días de línea parada, y hay pedidos urgentes.</t>
        </is>
      </c>
      <c r="F23" s="6" t="inlineStr">
        <is>
          <t>Aplazar mantención</t>
        </is>
      </c>
      <c r="G23" s="6" t="inlineStr">
        <is>
          <t>Mueves la mantención por 8 semanas y atiendes los pedidos del mes.</t>
        </is>
      </c>
      <c r="H23" s="6" t="inlineStr">
        <is>
          <t>Ventas ↑ · Costo ↓</t>
        </is>
      </c>
      <c r="I23" s="6" t="inlineStr">
        <is>
          <t>Costo</t>
        </is>
      </c>
      <c r="J23" s="6" t="inlineStr">
        <is>
          <t>Atajo</t>
        </is>
      </c>
      <c r="K23" s="6" t="inlineStr">
        <is>
          <t>Atajo: postergaste la mantención 8 semanas y atendiste todo este mes; el riesgo de falla queda sobre la planta.</t>
        </is>
      </c>
      <c r="L23" s="4" t="n"/>
      <c r="M23" s="4" t="n"/>
      <c r="N23" s="4" t="n"/>
      <c r="O23" s="6" t="inlineStr">
        <is>
          <t>Major maintenance is due (4 days stopped) and urgent orders are in.</t>
        </is>
      </c>
      <c r="P23" s="6" t="inlineStr">
        <is>
          <t>Delay maintenance</t>
        </is>
      </c>
      <c r="Q23" s="6" t="inlineStr">
        <is>
          <t>You move maintenance back 60 days and meet the month's orders.</t>
        </is>
      </c>
      <c r="R23" s="6" t="inlineStr">
        <is>
          <t>Sales ↑ · Cost ↓</t>
        </is>
      </c>
      <c r="S23" s="6" t="inlineStr">
        <is>
          <t>Shortcut: you delayed the maintenance 8 weeks and served it all; the risk stays on the plant.</t>
        </is>
      </c>
      <c r="T23" s="4" t="n"/>
    </row>
    <row r="24" ht="40.5" customHeight="1">
      <c r="A24" s="6" t="inlineStr">
        <is>
          <t>m02p</t>
        </is>
      </c>
      <c r="B24" s="6" t="inlineStr">
        <is>
          <t>Cualquiera</t>
        </is>
      </c>
      <c r="C24" s="6" t="inlineStr">
        <is>
          <t>PLANTA</t>
        </is>
      </c>
      <c r="D24" s="6" t="inlineStr">
        <is>
          <t>HOSPITALES</t>
        </is>
      </c>
      <c r="E24" s="6" t="inlineStr">
        <is>
          <t>Toca la mantención mayor, con 4 días de línea parada, y hay pedidos urgentes.</t>
        </is>
      </c>
      <c r="F24" s="6" t="inlineStr">
        <is>
          <t>Parar la línea</t>
        </is>
      </c>
      <c r="G24" s="6" t="inlineStr">
        <is>
          <t>Detienes la línea 4 días y pides al cliente que espere sus despachos.</t>
        </is>
      </c>
      <c r="H24" s="6" t="inlineStr">
        <is>
          <t>Ventas ↓ · Costo ↑</t>
        </is>
      </c>
      <c r="I24" s="6" t="inlineStr">
        <is>
          <t>Ventas</t>
        </is>
      </c>
      <c r="J24" s="6" t="inlineStr">
        <is>
          <t>Ceder</t>
        </is>
      </c>
      <c r="K24" s="6" t="inlineStr">
        <is>
          <t>Cesión: paraste 4 días y pediste esperar: mantención al día, pero los hospitales sufrieron atrasos.</t>
        </is>
      </c>
      <c r="L24" s="4" t="n"/>
      <c r="M24" s="4" t="n"/>
      <c r="N24" s="4" t="n"/>
      <c r="O24" s="6" t="inlineStr">
        <is>
          <t>Major maintenance is due (4 days stopped) and urgent orders are in.</t>
        </is>
      </c>
      <c r="P24" s="6" t="inlineStr">
        <is>
          <t>Stop the line</t>
        </is>
      </c>
      <c r="Q24" s="6" t="inlineStr">
        <is>
          <t>You halt the line 4 days and tell the client to wait for shipments.</t>
        </is>
      </c>
      <c r="R24" s="6" t="inlineStr">
        <is>
          <t>Sales ↓ · Cost ↑</t>
        </is>
      </c>
      <c r="S24" s="6" t="inlineStr">
        <is>
          <t>Concession: you stopped 4 days and asked them to wait: maintenance is done, hospitals suffered.</t>
        </is>
      </c>
      <c r="T24" s="4" t="n"/>
    </row>
    <row r="25" ht="40.5" customHeight="1">
      <c r="A25" s="6" t="inlineStr">
        <is>
          <t>m02p</t>
        </is>
      </c>
      <c r="B25" s="6" t="inlineStr">
        <is>
          <t>Cualquiera</t>
        </is>
      </c>
      <c r="C25" s="6" t="inlineStr">
        <is>
          <t>PLANTA</t>
        </is>
      </c>
      <c r="D25" s="6" t="inlineStr">
        <is>
          <t>HOSPITALES</t>
        </is>
      </c>
      <c r="E25" s="6" t="inlineStr">
        <is>
          <t>Toca la mantención mayor, con 4 días de línea parada, y hay pedidos urgentes.</t>
        </is>
      </c>
      <c r="F25" s="6" t="inlineStr">
        <is>
          <t>Calendario original</t>
        </is>
      </c>
      <c r="G25" s="6" t="inlineStr">
        <is>
          <t>Respetas el calendario original; solo 2 de 5 urgentes entran.</t>
        </is>
      </c>
      <c r="H25" s="6" t="inlineStr">
        <is>
          <t>Ventas ↓</t>
        </is>
      </c>
      <c r="I25" s="6" t="inlineStr">
        <is>
          <t>Ventas</t>
        </is>
      </c>
      <c r="J25" s="6" t="inlineStr">
        <is>
          <t>Pasiva</t>
        </is>
      </c>
      <c r="K25" s="6" t="inlineStr">
        <is>
          <t>Pasividad: respetaste el calendario y solo entraron 2 de 5 pedidos urgentes; los otros 3 se perdieron.</t>
        </is>
      </c>
      <c r="L25" s="4" t="n"/>
      <c r="M25" s="4" t="n"/>
      <c r="N25" s="4" t="n"/>
      <c r="O25" s="6" t="inlineStr">
        <is>
          <t>Major maintenance is due (4 days stopped) and urgent orders are in.</t>
        </is>
      </c>
      <c r="P25" s="6" t="inlineStr">
        <is>
          <t>Follow the calendar</t>
        </is>
      </c>
      <c r="Q25" s="6" t="inlineStr">
        <is>
          <t>You keep the original calendar; only 2 of 5 urgent orders get in.</t>
        </is>
      </c>
      <c r="R25" s="6" t="inlineStr">
        <is>
          <t>Sales ↓</t>
        </is>
      </c>
      <c r="S25" s="6" t="inlineStr">
        <is>
          <t>Passivity: you kept the original schedule and only 2 of 5 urgent orders got in; the other 3 were lost.</t>
        </is>
      </c>
      <c r="T25" s="4" t="n"/>
    </row>
    <row r="26" ht="27" customHeight="1">
      <c r="A26" s="6" t="inlineStr">
        <is>
          <t>m02e</t>
        </is>
      </c>
      <c r="B26" s="6" t="inlineStr">
        <is>
          <t>1 a 3</t>
        </is>
      </c>
      <c r="C26" s="6" t="inlineStr">
        <is>
          <t>ENTORNO</t>
        </is>
      </c>
      <c r="D26" s="6" t="inlineStr">
        <is>
          <t>HOTELES</t>
        </is>
      </c>
      <c r="E26" s="6" t="inlineStr">
        <is>
          <t>El temporal corta el camino de la costa: hay 14 despachos pendientes.</t>
        </is>
      </c>
      <c r="F26" s="6" t="inlineStr">
        <is>
          <t>Ruta alterna</t>
        </is>
      </c>
      <c r="G26" s="6" t="inlineStr">
        <is>
          <t>Tomas la ruta interior, 120 km más larga, y priorizas lo crítico.</t>
        </is>
      </c>
      <c r="H26" s="6" t="inlineStr">
        <is>
          <t>Ventas ↑ · Flete ↑</t>
        </is>
      </c>
      <c r="I26" s="6" t="inlineStr">
        <is>
          <t>Ventas</t>
        </is>
      </c>
      <c r="J26" s="6" t="inlineStr">
        <is>
          <t>Equilibrada</t>
        </is>
      </c>
      <c r="K26" s="6" t="inlineStr">
        <is>
          <t>Equilibrada: la ruta interior cuesta más flete, pero entregaste lo crítico y no perdiste ventas.</t>
        </is>
      </c>
      <c r="L26" s="4" t="n"/>
      <c r="M26" s="4" t="n"/>
      <c r="N26" s="4" t="n"/>
      <c r="O26" s="6" t="inlineStr">
        <is>
          <t>A storm cuts the coastal road: 14 shipments are pending.</t>
        </is>
      </c>
      <c r="P26" s="6" t="inlineStr">
        <is>
          <t>Alternate route</t>
        </is>
      </c>
      <c r="Q26" s="6" t="inlineStr">
        <is>
          <t>You take the inland route, 120 km longer, and prioritize what is critical.</t>
        </is>
      </c>
      <c r="R26" s="6" t="inlineStr">
        <is>
          <t>Sales ↑ · Freight ↑</t>
        </is>
      </c>
      <c r="S26" s="6" t="inlineStr">
        <is>
          <t>Balanced: the inland route costs freight, but you delivered the critical items and kept sales.</t>
        </is>
      </c>
      <c r="T26" s="4" t="n"/>
    </row>
    <row r="27" ht="40.5" customHeight="1">
      <c r="A27" s="6" t="inlineStr">
        <is>
          <t>m02e</t>
        </is>
      </c>
      <c r="B27" s="6" t="inlineStr">
        <is>
          <t>1 a 3</t>
        </is>
      </c>
      <c r="C27" s="6" t="inlineStr">
        <is>
          <t>ENTORNO</t>
        </is>
      </c>
      <c r="D27" s="6" t="inlineStr">
        <is>
          <t>HOTELES</t>
        </is>
      </c>
      <c r="E27" s="6" t="inlineStr">
        <is>
          <t>El temporal corta el camino de la costa: hay 14 despachos pendientes.</t>
        </is>
      </c>
      <c r="F27" s="6" t="inlineStr">
        <is>
          <t>Despachar igual</t>
        </is>
      </c>
      <c r="G27" s="6" t="inlineStr">
        <is>
          <t>Mandas los 14 camiones igual y llegas a las fechas pese al camino dañado.</t>
        </is>
      </c>
      <c r="H27" s="6" t="inlineStr">
        <is>
          <t>Ventas ↑ · Flete ↓</t>
        </is>
      </c>
      <c r="I27" s="6" t="inlineStr">
        <is>
          <t>Flete</t>
        </is>
      </c>
      <c r="J27" s="6" t="inlineStr">
        <is>
          <t>Atajo</t>
        </is>
      </c>
      <c r="K27" s="6" t="inlineStr">
        <is>
          <t>Atajo: mandaste los camiones por el camino dañado y llegaste; el riesgo y el desgaste se pagan después.</t>
        </is>
      </c>
      <c r="L27" s="4" t="n"/>
      <c r="M27" s="4" t="n"/>
      <c r="N27" s="4" t="n"/>
      <c r="O27" s="6" t="inlineStr">
        <is>
          <t>A storm cuts the coastal road: 14 shipments are pending.</t>
        </is>
      </c>
      <c r="P27" s="6" t="inlineStr">
        <is>
          <t>Ship anyway</t>
        </is>
      </c>
      <c r="Q27" s="6" t="inlineStr">
        <is>
          <t>You send the 14 trucks anyway and hit the dates despite the damaged road.</t>
        </is>
      </c>
      <c r="R27" s="6" t="inlineStr">
        <is>
          <t>Sales ↑ · Freight ↓</t>
        </is>
      </c>
      <c r="S27" s="6" t="inlineStr">
        <is>
          <t>Shortcut: you sent trucks over the damaged road and hit the date; risk and wear are paid later.</t>
        </is>
      </c>
      <c r="T27" s="4" t="n"/>
    </row>
    <row r="28" ht="40.5" customHeight="1">
      <c r="A28" s="6" t="inlineStr">
        <is>
          <t>m02e</t>
        </is>
      </c>
      <c r="B28" s="6" t="inlineStr">
        <is>
          <t>1 a 3</t>
        </is>
      </c>
      <c r="C28" s="6" t="inlineStr">
        <is>
          <t>ENTORNO</t>
        </is>
      </c>
      <c r="D28" s="6" t="inlineStr">
        <is>
          <t>HOTELES</t>
        </is>
      </c>
      <c r="E28" s="6" t="inlineStr">
        <is>
          <t>El temporal corta el camino de la costa: hay 14 despachos pendientes.</t>
        </is>
      </c>
      <c r="F28" s="6" t="inlineStr">
        <is>
          <t>Camiones 4x4</t>
        </is>
      </c>
      <c r="G28" s="6" t="inlineStr">
        <is>
          <t>Alquilas 14 camiones 4x4 para llegar a tiempo, a triple tarifa de flete.</t>
        </is>
      </c>
      <c r="H28" s="6" t="inlineStr">
        <is>
          <t>Flete ↑</t>
        </is>
      </c>
      <c r="I28" s="6" t="inlineStr">
        <is>
          <t>Flete</t>
        </is>
      </c>
      <c r="J28" s="6" t="inlineStr">
        <is>
          <t>Ceder</t>
        </is>
      </c>
      <c r="K28" s="6" t="inlineStr">
        <is>
          <t>Cesión: los camiones 4x4 a triple tarifa cumplieron todas las fechas, con el flete más caro del año.</t>
        </is>
      </c>
      <c r="L28" s="4" t="n"/>
      <c r="M28" s="4" t="n"/>
      <c r="N28" s="4" t="n"/>
      <c r="O28" s="6" t="inlineStr">
        <is>
          <t>A storm cuts the coastal road: 14 shipments are pending.</t>
        </is>
      </c>
      <c r="P28" s="6" t="inlineStr">
        <is>
          <t>4x4 trucks</t>
        </is>
      </c>
      <c r="Q28" s="6" t="inlineStr">
        <is>
          <t>You rent 14 4x4 trucks to arrive on time, at triple the freight rate.</t>
        </is>
      </c>
      <c r="R28" s="6" t="inlineStr">
        <is>
          <t>Freight ↑</t>
        </is>
      </c>
      <c r="S28" s="6" t="inlineStr">
        <is>
          <t>Concession: the 4x4 trucks at triple rate met every date, with the most expensive freight of the year.</t>
        </is>
      </c>
      <c r="T28" s="4" t="n"/>
    </row>
    <row r="29" ht="40.5" customHeight="1">
      <c r="A29" s="6" t="inlineStr">
        <is>
          <t>m02e</t>
        </is>
      </c>
      <c r="B29" s="6" t="inlineStr">
        <is>
          <t>1 a 3</t>
        </is>
      </c>
      <c r="C29" s="6" t="inlineStr">
        <is>
          <t>ENTORNO</t>
        </is>
      </c>
      <c r="D29" s="6" t="inlineStr">
        <is>
          <t>HOTELES</t>
        </is>
      </c>
      <c r="E29" s="6" t="inlineStr">
        <is>
          <t>El temporal corta el camino de la costa: hay 14 despachos pendientes.</t>
        </is>
      </c>
      <c r="F29" s="6" t="inlineStr">
        <is>
          <t>Camino cortado</t>
        </is>
      </c>
      <c r="G29" s="6" t="inlineStr">
        <is>
          <t>Detienes los despachos con el camino cortado, una semana más o menos.</t>
        </is>
      </c>
      <c r="H29" s="6" t="inlineStr">
        <is>
          <t>Ventas ↓ · Flete ↓</t>
        </is>
      </c>
      <c r="I29" s="6" t="inlineStr">
        <is>
          <t>Ventas</t>
        </is>
      </c>
      <c r="J29" s="6" t="inlineStr">
        <is>
          <t>Pasiva</t>
        </is>
      </c>
      <c r="K29" s="6" t="inlineStr">
        <is>
          <t>Pasividad: detuviste los despachos una semana: ahorraste flete, pero perdiste las ventas de esos 14 pedidos.</t>
        </is>
      </c>
      <c r="L29" s="4" t="n"/>
      <c r="M29" s="4" t="n"/>
      <c r="N29" s="4" t="n"/>
      <c r="O29" s="6" t="inlineStr">
        <is>
          <t>A storm cuts the coastal road: 14 shipments are pending.</t>
        </is>
      </c>
      <c r="P29" s="6" t="inlineStr">
        <is>
          <t>Closed road</t>
        </is>
      </c>
      <c r="Q29" s="6" t="inlineStr">
        <is>
          <t>You halt shipments while the road is shut, a week or so.</t>
        </is>
      </c>
      <c r="R29" s="6" t="inlineStr">
        <is>
          <t>Sales ↓ · Freight ↓</t>
        </is>
      </c>
      <c r="S29" s="6" t="inlineStr">
        <is>
          <t>Passivity: you halted shipments for a week: you saved freight, but lost the sales of those 14 orders.</t>
        </is>
      </c>
      <c r="T29" s="4" t="n"/>
    </row>
    <row r="30" ht="40.5" customHeight="1">
      <c r="A30" s="6" t="inlineStr">
        <is>
          <t>m02s</t>
        </is>
      </c>
      <c r="B30" s="6" t="inlineStr">
        <is>
          <t>Cualquiera</t>
        </is>
      </c>
      <c r="C30" s="6" t="inlineStr">
        <is>
          <t>ESTRATEGIA</t>
        </is>
      </c>
      <c r="D30" s="6" t="inlineStr">
        <is>
          <t>INDUSTRIA</t>
        </is>
      </c>
      <c r="E30" s="6" t="inlineStr">
        <is>
          <t>Corporativo pide subir 8% el pronóstico del año para la reunión del lunes.</t>
        </is>
      </c>
      <c r="F30" s="6" t="inlineStr">
        <is>
          <t>Pronóstico en rango</t>
        </is>
      </c>
      <c r="G30" s="6" t="inlineStr">
        <is>
          <t>Entregas un caso base y otro optimista de +8%, ambos explicados.</t>
        </is>
      </c>
      <c r="H30" s="6" t="inlineStr">
        <is>
          <t>SG&amp;A ↓</t>
        </is>
      </c>
      <c r="I30" s="6" t="inlineStr">
        <is>
          <t>SG&amp;A</t>
        </is>
      </c>
      <c r="J30" s="6" t="inlineStr">
        <is>
          <t>Equilibrada</t>
        </is>
      </c>
      <c r="K30" s="6" t="inlineStr">
        <is>
          <t>Equilibrada: diste un caso base y uno optimista, explicados: corporativo planifica con datos creíbles.</t>
        </is>
      </c>
      <c r="L30" s="4" t="n"/>
      <c r="M30" s="4" t="n"/>
      <c r="N30" s="4" t="n"/>
      <c r="O30" s="6" t="inlineStr">
        <is>
          <t>Corporate asks to raise the yearly forecast 8% for Monday's meeting.</t>
        </is>
      </c>
      <c r="P30" s="6" t="inlineStr">
        <is>
          <t>Ranged forecast</t>
        </is>
      </c>
      <c r="Q30" s="6" t="inlineStr">
        <is>
          <t>You give a base case and an upside of +8%, both explained.</t>
        </is>
      </c>
      <c r="R30" s="6" t="inlineStr">
        <is>
          <t>SG&amp;A ↓</t>
        </is>
      </c>
      <c r="S30" s="6" t="inlineStr">
        <is>
          <t>Balanced: you delivered a base case and an optimistic one, both explained; corporate plans with credible numbers.</t>
        </is>
      </c>
      <c r="T30" s="4" t="n"/>
    </row>
    <row r="31" ht="40.5" customHeight="1">
      <c r="A31" s="6" t="inlineStr">
        <is>
          <t>m02s</t>
        </is>
      </c>
      <c r="B31" s="6" t="inlineStr">
        <is>
          <t>Cualquiera</t>
        </is>
      </c>
      <c r="C31" s="6" t="inlineStr">
        <is>
          <t>ESTRATEGIA</t>
        </is>
      </c>
      <c r="D31" s="6" t="inlineStr">
        <is>
          <t>INDUSTRIA</t>
        </is>
      </c>
      <c r="E31" s="6" t="inlineStr">
        <is>
          <t>Corporativo pide subir 8% el pronóstico del año para la reunión del lunes.</t>
        </is>
      </c>
      <c r="F31" s="6" t="inlineStr">
        <is>
          <t>Inflar el número</t>
        </is>
      </c>
      <c r="G31" s="6" t="inlineStr">
        <is>
          <t>Inflas 8% el pronóstico para cumplir y lo ajustas en el próximo reporte.</t>
        </is>
      </c>
      <c r="H31" s="6" t="inlineStr">
        <is>
          <t>SG&amp;A ↑ · LÍNEA ROJA</t>
        </is>
      </c>
      <c r="I31" s="6" t="inlineStr">
        <is>
          <t>SG&amp;A</t>
        </is>
      </c>
      <c r="J31" s="6" t="inlineStr">
        <is>
          <t>Atajo</t>
        </is>
      </c>
      <c r="K31" s="6" t="inlineStr">
        <is>
          <t>Línea roja: inflaste el pronóstico. Es información engañosa: multa, auditoría y pérdida de confianza.</t>
        </is>
      </c>
      <c r="L31" s="4" t="n"/>
      <c r="M31" s="4" t="n"/>
      <c r="N31" s="4" t="n"/>
      <c r="O31" s="6" t="inlineStr">
        <is>
          <t>Corporate asks to raise the yearly forecast 8% for Monday's meeting.</t>
        </is>
      </c>
      <c r="P31" s="6" t="inlineStr">
        <is>
          <t>Inflate the number</t>
        </is>
      </c>
      <c r="Q31" s="6" t="inlineStr">
        <is>
          <t>You boost the forecast 8% to comply and adjust it in the next report.</t>
        </is>
      </c>
      <c r="R31" s="6" t="inlineStr">
        <is>
          <t>SG&amp;A ↑ · RED LINE</t>
        </is>
      </c>
      <c r="S31" s="6" t="inlineStr">
        <is>
          <t>Red line: you inflated the forecast. It is misleading information: a fine, an audit and lost trust.</t>
        </is>
      </c>
      <c r="T31" s="4" t="n"/>
    </row>
    <row r="32" ht="40.5" customHeight="1">
      <c r="A32" s="6" t="inlineStr">
        <is>
          <t>m02s</t>
        </is>
      </c>
      <c r="B32" s="6" t="inlineStr">
        <is>
          <t>Cualquiera</t>
        </is>
      </c>
      <c r="C32" s="6" t="inlineStr">
        <is>
          <t>ESTRATEGIA</t>
        </is>
      </c>
      <c r="D32" s="6" t="inlineStr">
        <is>
          <t>INDUSTRIA</t>
        </is>
      </c>
      <c r="E32" s="6" t="inlineStr">
        <is>
          <t>Corporativo pide subir 8% el pronóstico del año para la reunión del lunes.</t>
        </is>
      </c>
      <c r="F32" s="6" t="inlineStr">
        <is>
          <t>Aceptar el 8%</t>
        </is>
      </c>
      <c r="G32" s="6" t="inlineStr">
        <is>
          <t>Aceptas con gusto la meta de +8% y la repartes entre los equipos.</t>
        </is>
      </c>
      <c r="H32" s="6" t="inlineStr">
        <is>
          <t>SG&amp;A ↑</t>
        </is>
      </c>
      <c r="I32" s="6" t="inlineStr">
        <is>
          <t>SG&amp;A</t>
        </is>
      </c>
      <c r="J32" s="6" t="inlineStr">
        <is>
          <t>Ceder</t>
        </is>
      </c>
      <c r="K32" s="6" t="inlineStr">
        <is>
          <t>Cesión: aceptaste el +8% y lo repartiste; la presión sube el gasto de venta y bajan los medidores.</t>
        </is>
      </c>
      <c r="L32" s="4" t="n"/>
      <c r="M32" s="4" t="n"/>
      <c r="N32" s="4" t="n"/>
      <c r="O32" s="6" t="inlineStr">
        <is>
          <t>Corporate asks to raise the yearly forecast 8% for Monday's meeting.</t>
        </is>
      </c>
      <c r="P32" s="6" t="inlineStr">
        <is>
          <t>Accept the 8%</t>
        </is>
      </c>
      <c r="Q32" s="6" t="inlineStr">
        <is>
          <t>You gladly accept the +8% target and split it among the teams.</t>
        </is>
      </c>
      <c r="R32" s="6" t="inlineStr">
        <is>
          <t>SG&amp;A ↑</t>
        </is>
      </c>
      <c r="S32" s="6" t="inlineStr">
        <is>
          <t>Concession: you accepted +8% and spread it out; pressure raises selling costs and the meters fall.</t>
        </is>
      </c>
      <c r="T32" s="4" t="n"/>
    </row>
    <row r="33" ht="40.5" customHeight="1">
      <c r="A33" s="6" t="inlineStr">
        <is>
          <t>m02s</t>
        </is>
      </c>
      <c r="B33" s="6" t="inlineStr">
        <is>
          <t>Cualquiera</t>
        </is>
      </c>
      <c r="C33" s="6" t="inlineStr">
        <is>
          <t>ESTRATEGIA</t>
        </is>
      </c>
      <c r="D33" s="6" t="inlineStr">
        <is>
          <t>INDUSTRIA</t>
        </is>
      </c>
      <c r="E33" s="6" t="inlineStr">
        <is>
          <t>Corporativo pide subir 8% el pronóstico del año para la reunión del lunes.</t>
        </is>
      </c>
      <c r="F33" s="6" t="inlineStr">
        <is>
          <t>Enviarlo después</t>
        </is>
      </c>
      <c r="G33" s="6" t="inlineStr">
        <is>
          <t>Envías el pronóstico por correo en 7 días, con las cifras del mes pasado.</t>
        </is>
      </c>
      <c r="H33" s="6" t="inlineStr">
        <is>
          <t>SG&amp;A ↑</t>
        </is>
      </c>
      <c r="I33" s="6" t="inlineStr">
        <is>
          <t>SG&amp;A</t>
        </is>
      </c>
      <c r="J33" s="6" t="inlineStr">
        <is>
          <t>Pasiva</t>
        </is>
      </c>
      <c r="K33" s="6" t="inlineStr">
        <is>
          <t>Pasividad: enviaste el pronóstico tarde, con cifras viejas; corporativo asignó recursos sin ti.</t>
        </is>
      </c>
      <c r="L33" s="4" t="n"/>
      <c r="M33" s="4" t="n"/>
      <c r="N33" s="4" t="n"/>
      <c r="O33" s="6" t="inlineStr">
        <is>
          <t>Corporate asks to raise the yearly forecast 8% for Monday's meeting.</t>
        </is>
      </c>
      <c r="P33" s="6" t="inlineStr">
        <is>
          <t>Send it later</t>
        </is>
      </c>
      <c r="Q33" s="6" t="inlineStr">
        <is>
          <t>You email the forecast in 7 days, with last month already closed.</t>
        </is>
      </c>
      <c r="R33" s="6" t="inlineStr">
        <is>
          <t>SG&amp;A ↑</t>
        </is>
      </c>
      <c r="S33" s="6" t="inlineStr">
        <is>
          <t>Passivity: you sent the forecast late, with old figures; corporate allocated resources without you.</t>
        </is>
      </c>
      <c r="T33" s="4" t="n"/>
    </row>
    <row r="34" ht="27" customHeight="1">
      <c r="A34" s="6" t="inlineStr">
        <is>
          <t>m03c</t>
        </is>
      </c>
      <c r="B34" s="6" t="inlineStr">
        <is>
          <t>Cualquiera</t>
        </is>
      </c>
      <c r="C34" s="6" t="inlineStr">
        <is>
          <t>CLIENTE</t>
        </is>
      </c>
      <c r="D34" s="6" t="inlineStr">
        <is>
          <t>INDUSTRIA</t>
        </is>
      </c>
      <c r="E34" s="6" t="inlineStr">
        <is>
          <t>Un cliente reclama 40 toneladas que salieron fuera de especificación.</t>
        </is>
      </c>
      <c r="F34" s="6" t="inlineStr">
        <is>
          <t>Reponer el lote</t>
        </is>
      </c>
      <c r="G34" s="6" t="inlineStr">
        <is>
          <t>Repones hoy las 40 toneladas y compartes el análisis para evitar otro reclamo.</t>
        </is>
      </c>
      <c r="H34" s="6" t="inlineStr">
        <is>
          <t>Ventas ↑ · Costo ↑</t>
        </is>
      </c>
      <c r="I34" s="6" t="inlineStr">
        <is>
          <t>Ventas</t>
        </is>
      </c>
      <c r="J34" s="6" t="inlineStr">
        <is>
          <t>Equilibrada</t>
        </is>
      </c>
      <c r="K34" s="6" t="inlineStr">
        <is>
          <t>Equilibrada: repusiste las 40 toneladas y compartiste el análisis: cuesta, pero evitas otro reclamo.</t>
        </is>
      </c>
      <c r="L34" s="4" t="n"/>
      <c r="M34" s="4" t="n"/>
      <c r="N34" s="4" t="n"/>
      <c r="O34" s="6" t="inlineStr">
        <is>
          <t>A client complains about 40 tons that came out off specification.</t>
        </is>
      </c>
      <c r="P34" s="6" t="inlineStr">
        <is>
          <t>Replace the batch</t>
        </is>
      </c>
      <c r="Q34" s="6" t="inlineStr">
        <is>
          <t>You replace the 40 tons today and share the analysis to avoid another claim.</t>
        </is>
      </c>
      <c r="R34" s="6" t="inlineStr">
        <is>
          <t>Sales ↑ · Cost ↑</t>
        </is>
      </c>
      <c r="S34" s="6" t="inlineStr">
        <is>
          <t>Balanced: you replaced the 40 tons and shared the analysis: it costs, but you avoid another claim.</t>
        </is>
      </c>
      <c r="T34" s="4" t="n"/>
    </row>
    <row r="35" ht="27" customHeight="1">
      <c r="A35" s="6" t="inlineStr">
        <is>
          <t>m03c</t>
        </is>
      </c>
      <c r="B35" s="6" t="inlineStr">
        <is>
          <t>Cualquiera</t>
        </is>
      </c>
      <c r="C35" s="6" t="inlineStr">
        <is>
          <t>CLIENTE</t>
        </is>
      </c>
      <c r="D35" s="6" t="inlineStr">
        <is>
          <t>INDUSTRIA</t>
        </is>
      </c>
      <c r="E35" s="6" t="inlineStr">
        <is>
          <t>Un cliente reclama 40 toneladas que salieron fuera de especificación.</t>
        </is>
      </c>
      <c r="F35" s="6" t="inlineStr">
        <is>
          <t>Apuntar al flete</t>
        </is>
      </c>
      <c r="G35" s="6" t="inlineStr">
        <is>
          <t>Atribuyes el daño al transporte y respondes con media reposición.</t>
        </is>
      </c>
      <c r="H35" s="6" t="inlineStr">
        <is>
          <t>Costo ↓ · Flete ↓</t>
        </is>
      </c>
      <c r="I35" s="6" t="inlineStr">
        <is>
          <t>Costo</t>
        </is>
      </c>
      <c r="J35" s="6" t="inlineStr">
        <is>
          <t>Atajo</t>
        </is>
      </c>
      <c r="K35" s="6" t="inlineStr">
        <is>
          <t>Atajo: culpar al transporte y reponer a medias ahorra hoy; si lo desmienten, pierdes su confianza.</t>
        </is>
      </c>
      <c r="L35" s="4" t="n"/>
      <c r="M35" s="4" t="n"/>
      <c r="N35" s="4" t="n"/>
      <c r="O35" s="6" t="inlineStr">
        <is>
          <t>A client complains about 40 tons that came out off specification.</t>
        </is>
      </c>
      <c r="P35" s="6" t="inlineStr">
        <is>
          <t>Point at freight</t>
        </is>
      </c>
      <c r="Q35" s="6" t="inlineStr">
        <is>
          <t>You blame transport for the damage and answer with half a replacement.</t>
        </is>
      </c>
      <c r="R35" s="6" t="inlineStr">
        <is>
          <t>Cost ↓ · Freight ↓</t>
        </is>
      </c>
      <c r="S35" s="6" t="inlineStr">
        <is>
          <t>Shortcut: blaming transport and replacing half saves today; if disproved, you lose their trust.</t>
        </is>
      </c>
      <c r="T35" s="4" t="n"/>
    </row>
    <row r="36" ht="40.5" customHeight="1">
      <c r="A36" s="6" t="inlineStr">
        <is>
          <t>m03c</t>
        </is>
      </c>
      <c r="B36" s="6" t="inlineStr">
        <is>
          <t>Cualquiera</t>
        </is>
      </c>
      <c r="C36" s="6" t="inlineStr">
        <is>
          <t>CLIENTE</t>
        </is>
      </c>
      <c r="D36" s="6" t="inlineStr">
        <is>
          <t>INDUSTRIA</t>
        </is>
      </c>
      <c r="E36" s="6" t="inlineStr">
        <is>
          <t>Un cliente reclama 40 toneladas que salieron fuera de especificación.</t>
        </is>
      </c>
      <c r="F36" s="6" t="inlineStr">
        <is>
          <t>Descuento de 10%</t>
        </is>
      </c>
      <c r="G36" s="6" t="inlineStr">
        <is>
          <t>Reconoces 10% sobre la siguiente compra del cliente y cierras el reclamo hoy.</t>
        </is>
      </c>
      <c r="H36" s="6" t="inlineStr">
        <is>
          <t>Incentivos ↑</t>
        </is>
      </c>
      <c r="I36" s="6" t="inlineStr">
        <is>
          <t>Incentivos</t>
        </is>
      </c>
      <c r="J36" s="6" t="inlineStr">
        <is>
          <t>Ceder</t>
        </is>
      </c>
      <c r="K36" s="6" t="inlineStr">
        <is>
          <t>Cesión: el descuento de 10% cerró el reclamo en el día, pero regalaste margen sin corregir la causa.</t>
        </is>
      </c>
      <c r="L36" s="4" t="n"/>
      <c r="M36" s="4" t="n"/>
      <c r="N36" s="4" t="n"/>
      <c r="O36" s="6" t="inlineStr">
        <is>
          <t>A client complains about 40 tons that came out off specification.</t>
        </is>
      </c>
      <c r="P36" s="6" t="inlineStr">
        <is>
          <t>10% discount</t>
        </is>
      </c>
      <c r="Q36" s="6" t="inlineStr">
        <is>
          <t>You give 10% off the client's next purchase and close the claim today.</t>
        </is>
      </c>
      <c r="R36" s="6" t="inlineStr">
        <is>
          <t>Incentives ↑</t>
        </is>
      </c>
      <c r="S36" s="6" t="inlineStr">
        <is>
          <t>Concession: the 10% discount closed the claim the same day, but you gave away margin without fixing the cause.</t>
        </is>
      </c>
      <c r="T36" s="4" t="n"/>
    </row>
    <row r="37" ht="27" customHeight="1">
      <c r="A37" s="6" t="inlineStr">
        <is>
          <t>m03c</t>
        </is>
      </c>
      <c r="B37" s="6" t="inlineStr">
        <is>
          <t>Cualquiera</t>
        </is>
      </c>
      <c r="C37" s="6" t="inlineStr">
        <is>
          <t>CLIENTE</t>
        </is>
      </c>
      <c r="D37" s="6" t="inlineStr">
        <is>
          <t>INDUSTRIA</t>
        </is>
      </c>
      <c r="E37" s="6" t="inlineStr">
        <is>
          <t>Un cliente reclama 40 toneladas que salieron fuera de especificación.</t>
        </is>
      </c>
      <c r="F37" s="6" t="inlineStr">
        <is>
          <t>Reclamo formal</t>
        </is>
      </c>
      <c r="G37" s="6" t="inlineStr">
        <is>
          <t>Contestas el reclamo formal cuando llega, en 15 días, y revisas el lote.</t>
        </is>
      </c>
      <c r="H37" s="6" t="inlineStr">
        <is>
          <t>Direct Chg ↑</t>
        </is>
      </c>
      <c r="I37" s="6" t="inlineStr">
        <is>
          <t>Direct Chg</t>
        </is>
      </c>
      <c r="J37" s="6" t="inlineStr">
        <is>
          <t>Pasiva</t>
        </is>
      </c>
      <c r="K37" s="6" t="inlineStr">
        <is>
          <t>Pasividad: respondiste en 15 días y el reclamo formal sumó costos de gestión y un cliente molesto.</t>
        </is>
      </c>
      <c r="L37" s="4" t="n"/>
      <c r="M37" s="4" t="n"/>
      <c r="N37" s="4" t="n"/>
      <c r="O37" s="6" t="inlineStr">
        <is>
          <t>A client complains about 40 tons that came out off specification.</t>
        </is>
      </c>
      <c r="P37" s="6" t="inlineStr">
        <is>
          <t>Formal claim</t>
        </is>
      </c>
      <c r="Q37" s="6" t="inlineStr">
        <is>
          <t>You wait for the formal claim, coming in 15 days, and then check the batch.</t>
        </is>
      </c>
      <c r="R37" s="6" t="inlineStr">
        <is>
          <t>Direct Chg ↑</t>
        </is>
      </c>
      <c r="S37" s="6" t="inlineStr">
        <is>
          <t>Passivity: you answered in 15 days and the formal claim added handling costs and an upset client.</t>
        </is>
      </c>
      <c r="T37" s="4" t="n"/>
    </row>
    <row r="38" ht="40.5" customHeight="1">
      <c r="A38" s="6" t="inlineStr">
        <is>
          <t>m03p</t>
        </is>
      </c>
      <c r="B38" s="6" t="inlineStr">
        <is>
          <t>Cualquiera</t>
        </is>
      </c>
      <c r="C38" s="6" t="inlineStr">
        <is>
          <t>PLANTA</t>
        </is>
      </c>
      <c r="D38" s="6" t="inlineStr">
        <is>
          <t>HOSPITALES</t>
        </is>
      </c>
      <c r="E38" s="6" t="inlineStr">
        <is>
          <t>Falla una bomba de la línea 2 y quedan 5 días de una materia prima clave.</t>
        </is>
      </c>
      <c r="F38" s="6" t="inlineStr">
        <is>
          <t>Priorizar pedidos</t>
        </is>
      </c>
      <c r="G38" s="6" t="inlineStr">
        <is>
          <t>Priorizas los críticos con lo que queda y compras la bomba a un local.</t>
        </is>
      </c>
      <c r="H38" s="6" t="inlineStr">
        <is>
          <t>Ventas ↑ · Costo ↓</t>
        </is>
      </c>
      <c r="I38" s="6" t="inlineStr">
        <is>
          <t>Costo</t>
        </is>
      </c>
      <c r="J38" s="6" t="inlineStr">
        <is>
          <t>Equilibrada</t>
        </is>
      </c>
      <c r="K38" s="6" t="inlineStr">
        <is>
          <t>Equilibrada: priorizaste pedidos críticos con lo que quedaba y compraste la bomba sin pagar de más.</t>
        </is>
      </c>
      <c r="L38" s="4" t="n"/>
      <c r="M38" s="4" t="n"/>
      <c r="N38" s="4" t="n"/>
      <c r="O38" s="6" t="inlineStr">
        <is>
          <t>A pump on line 2 fails and a key raw material has 5 days left.</t>
        </is>
      </c>
      <c r="P38" s="6" t="inlineStr">
        <is>
          <t>Prioritize orders</t>
        </is>
      </c>
      <c r="Q38" s="6" t="inlineStr">
        <is>
          <t>You prioritize critical orders using what is left and buy the pump locally.</t>
        </is>
      </c>
      <c r="R38" s="6" t="inlineStr">
        <is>
          <t>Sales ↑ · Cost ↓</t>
        </is>
      </c>
      <c r="S38" s="6" t="inlineStr">
        <is>
          <t>Balanced: you prioritized critical orders with what was left and bought the pump without overpaying.</t>
        </is>
      </c>
      <c r="T38" s="4" t="n"/>
    </row>
    <row r="39" ht="40.5" customHeight="1">
      <c r="A39" s="6" t="inlineStr">
        <is>
          <t>m03p</t>
        </is>
      </c>
      <c r="B39" s="6" t="inlineStr">
        <is>
          <t>Cualquiera</t>
        </is>
      </c>
      <c r="C39" s="6" t="inlineStr">
        <is>
          <t>PLANTA</t>
        </is>
      </c>
      <c r="D39" s="6" t="inlineStr">
        <is>
          <t>HOSPITALES</t>
        </is>
      </c>
      <c r="E39" s="6" t="inlineStr">
        <is>
          <t>Falla una bomba de la línea 2 y quedan 5 días de una materia prima clave.</t>
        </is>
      </c>
      <c r="F39" s="6" t="inlineStr">
        <is>
          <t>Parche provisorio</t>
        </is>
      </c>
      <c r="G39" s="6" t="inlineStr">
        <is>
          <t>Haces una reparación provisoria por 2 días y sigues a plena carga.</t>
        </is>
      </c>
      <c r="H39" s="6" t="inlineStr">
        <is>
          <t>Costo ↓</t>
        </is>
      </c>
      <c r="I39" s="6" t="inlineStr">
        <is>
          <t>Costo</t>
        </is>
      </c>
      <c r="J39" s="6" t="inlineStr">
        <is>
          <t>Atajo</t>
        </is>
      </c>
      <c r="K39" s="6" t="inlineStr">
        <is>
          <t>Atajo: el parche te mantuvo a plena carga 2 días; si vuelve a fallar, la línea se detiene en el peor momento.</t>
        </is>
      </c>
      <c r="L39" s="4" t="n"/>
      <c r="M39" s="4" t="n"/>
      <c r="N39" s="4" t="n"/>
      <c r="O39" s="6" t="inlineStr">
        <is>
          <t>A pump on line 2 fails and a key raw material has 5 days left.</t>
        </is>
      </c>
      <c r="P39" s="6" t="inlineStr">
        <is>
          <t>Temporary patch</t>
        </is>
      </c>
      <c r="Q39" s="6" t="inlineStr">
        <is>
          <t>You make a temporary repair over 2 days and keep running at full load.</t>
        </is>
      </c>
      <c r="R39" s="6" t="inlineStr">
        <is>
          <t>Cost ↓</t>
        </is>
      </c>
      <c r="S39" s="6" t="inlineStr">
        <is>
          <t>Shortcut: the patch kept you at full load for 2 days; if it fails again, the line stops at the worst moment.</t>
        </is>
      </c>
      <c r="T39" s="4" t="n"/>
    </row>
    <row r="40" ht="40.5" customHeight="1">
      <c r="A40" s="6" t="inlineStr">
        <is>
          <t>m03p</t>
        </is>
      </c>
      <c r="B40" s="6" t="inlineStr">
        <is>
          <t>Cualquiera</t>
        </is>
      </c>
      <c r="C40" s="6" t="inlineStr">
        <is>
          <t>PLANTA</t>
        </is>
      </c>
      <c r="D40" s="6" t="inlineStr">
        <is>
          <t>HOSPITALES</t>
        </is>
      </c>
      <c r="E40" s="6" t="inlineStr">
        <is>
          <t>Falla una bomba de la línea 2 y quedan 5 días de una materia prima clave.</t>
        </is>
      </c>
      <c r="F40" s="6" t="inlineStr">
        <is>
          <t>Comprar urgente</t>
        </is>
      </c>
      <c r="G40" s="6" t="inlineStr">
        <is>
          <t>Compras la bomba y la materia prima en 24 horas y pagas lo que pidan.</t>
        </is>
      </c>
      <c r="H40" s="6" t="inlineStr">
        <is>
          <t>Costo ↑</t>
        </is>
      </c>
      <c r="I40" s="6" t="inlineStr">
        <is>
          <t>Costo</t>
        </is>
      </c>
      <c r="J40" s="6" t="inlineStr">
        <is>
          <t>Ceder</t>
        </is>
      </c>
      <c r="K40" s="6" t="inlineStr">
        <is>
          <t>Cesión: compraste bomba y materia prima en 24 horas a cualquier precio: servicio al costo más alto.</t>
        </is>
      </c>
      <c r="L40" s="4" t="n"/>
      <c r="M40" s="4" t="n"/>
      <c r="N40" s="4" t="n"/>
      <c r="O40" s="6" t="inlineStr">
        <is>
          <t>A pump on line 2 fails and a key raw material has 5 days left.</t>
        </is>
      </c>
      <c r="P40" s="6" t="inlineStr">
        <is>
          <t>Buy urgently</t>
        </is>
      </c>
      <c r="Q40" s="6" t="inlineStr">
        <is>
          <t>You buy the pump and the raw material within 24 hours and pay what they ask.</t>
        </is>
      </c>
      <c r="R40" s="6" t="inlineStr">
        <is>
          <t>Cost ↑</t>
        </is>
      </c>
      <c r="S40" s="6" t="inlineStr">
        <is>
          <t>Concession: you bought pump and material in 24 hours at any price: service held, at the highest cost.</t>
        </is>
      </c>
      <c r="T40" s="4" t="n"/>
    </row>
    <row r="41" ht="40.5" customHeight="1">
      <c r="A41" s="6" t="inlineStr">
        <is>
          <t>m03p</t>
        </is>
      </c>
      <c r="B41" s="6" t="inlineStr">
        <is>
          <t>Cualquiera</t>
        </is>
      </c>
      <c r="C41" s="6" t="inlineStr">
        <is>
          <t>PLANTA</t>
        </is>
      </c>
      <c r="D41" s="6" t="inlineStr">
        <is>
          <t>HOSPITALES</t>
        </is>
      </c>
      <c r="E41" s="6" t="inlineStr">
        <is>
          <t>Falla una bomba de la línea 2 y quedan 5 días de una materia prima clave.</t>
        </is>
      </c>
      <c r="F41" s="6" t="inlineStr">
        <is>
          <t>Detener la línea</t>
        </is>
      </c>
      <c r="G41" s="6" t="inlineStr">
        <is>
          <t>Paras la línea 2 hoy para que el proveedor entregue los repuestos.</t>
        </is>
      </c>
      <c r="H41" s="6" t="inlineStr">
        <is>
          <t>Ventas ↓ · Costo ↑</t>
        </is>
      </c>
      <c r="I41" s="6" t="inlineStr">
        <is>
          <t>Costo</t>
        </is>
      </c>
      <c r="J41" s="6" t="inlineStr">
        <is>
          <t>Pasiva</t>
        </is>
      </c>
      <c r="K41" s="6" t="inlineStr">
        <is>
          <t>Pasividad: paraste la línea a esperar repuestos: pedidos críticos atrasados y costos de planta detenida.</t>
        </is>
      </c>
      <c r="L41" s="4" t="n"/>
      <c r="M41" s="4" t="n"/>
      <c r="N41" s="4" t="n"/>
      <c r="O41" s="6" t="inlineStr">
        <is>
          <t>A pump on line 2 fails and a key raw material has 5 days left.</t>
        </is>
      </c>
      <c r="P41" s="6" t="inlineStr">
        <is>
          <t>Stop the line</t>
        </is>
      </c>
      <c r="Q41" s="6" t="inlineStr">
        <is>
          <t>You stop line 2 today for the supplier to deliver the spare parts.</t>
        </is>
      </c>
      <c r="R41" s="6" t="inlineStr">
        <is>
          <t>Sales ↓ · Cost ↑</t>
        </is>
      </c>
      <c r="S41" s="6" t="inlineStr">
        <is>
          <t>Passivity: you stopped the line to wait for spare parts: critical orders late and the costs of an idle plant.</t>
        </is>
      </c>
      <c r="T41" s="4" t="n"/>
    </row>
    <row r="42" ht="40.5" customHeight="1">
      <c r="A42" s="6" t="inlineStr">
        <is>
          <t>m03e</t>
        </is>
      </c>
      <c r="B42" s="6" t="inlineStr">
        <is>
          <t>Cualquiera</t>
        </is>
      </c>
      <c r="C42" s="6" t="inlineStr">
        <is>
          <t>ENTORNO</t>
        </is>
      </c>
      <c r="D42" s="6" t="inlineStr">
        <is>
          <t>HOSPITALES</t>
        </is>
      </c>
      <c r="E42" s="6" t="inlineStr">
        <is>
          <t>Sale un borrador de norma sanitaria y 3 clientes grandes frenan compras.</t>
        </is>
      </c>
      <c r="F42" s="6" t="inlineStr">
        <is>
          <t>Ver escenarios</t>
        </is>
      </c>
      <c r="G42" s="6" t="inlineStr">
        <is>
          <t>Conversas por cliente sus escenarios y ofreces descuento solo a pedidos firmes.</t>
        </is>
      </c>
      <c r="H42" s="6" t="inlineStr">
        <is>
          <t>Ventas ↑ · Incentivos ↑</t>
        </is>
      </c>
      <c r="I42" s="6" t="inlineStr">
        <is>
          <t>Ventas</t>
        </is>
      </c>
      <c r="J42" s="6" t="inlineStr">
        <is>
          <t>Equilibrada</t>
        </is>
      </c>
      <c r="K42" s="6" t="inlineStr">
        <is>
          <t>Equilibrada: conversaste con cada cliente sus escenarios y diste descuento solo a pedidos firmes.</t>
        </is>
      </c>
      <c r="L42" s="4" t="n"/>
      <c r="M42" s="4" t="n"/>
      <c r="N42" s="4" t="n"/>
      <c r="O42" s="6" t="inlineStr">
        <is>
          <t>A draft health rule is published and 3 large clients hold back purchases.</t>
        </is>
      </c>
      <c r="P42" s="6" t="inlineStr">
        <is>
          <t>Map scenarios</t>
        </is>
      </c>
      <c r="Q42" s="6" t="inlineStr">
        <is>
          <t>You go through each client's scenarios and give 2% off only to firm orders.</t>
        </is>
      </c>
      <c r="R42" s="6" t="inlineStr">
        <is>
          <t>Sales ↑ · Incentives ↑</t>
        </is>
      </c>
      <c r="S42" s="6" t="inlineStr">
        <is>
          <t>Balanced: you discussed scenarios with each client and gave discounts only to firm orders.</t>
        </is>
      </c>
      <c r="T42" s="4" t="n"/>
    </row>
    <row r="43" ht="40.5" customHeight="1">
      <c r="A43" s="6" t="inlineStr">
        <is>
          <t>m03e</t>
        </is>
      </c>
      <c r="B43" s="6" t="inlineStr">
        <is>
          <t>Cualquiera</t>
        </is>
      </c>
      <c r="C43" s="6" t="inlineStr">
        <is>
          <t>ENTORNO</t>
        </is>
      </c>
      <c r="D43" s="6" t="inlineStr">
        <is>
          <t>HOSPITALES</t>
        </is>
      </c>
      <c r="E43" s="6" t="inlineStr">
        <is>
          <t>Sale un borrador de norma sanitaria y 3 clientes grandes frenan compras.</t>
        </is>
      </c>
      <c r="F43" s="6" t="inlineStr">
        <is>
          <t>Adelantar ventas</t>
        </is>
      </c>
      <c r="G43" s="6" t="inlineStr">
        <is>
          <t>Das 5% de descuento a quien compre antes de que la norma sea definitiva.</t>
        </is>
      </c>
      <c r="H43" s="6" t="inlineStr">
        <is>
          <t>Ventas ↑ · Incentivos ↑</t>
        </is>
      </c>
      <c r="I43" s="6" t="inlineStr">
        <is>
          <t>Ventas</t>
        </is>
      </c>
      <c r="J43" s="6" t="inlineStr">
        <is>
          <t>Atajo</t>
        </is>
      </c>
      <c r="K43" s="6" t="inlineStr">
        <is>
          <t>Atajo: adelantaste ventas con 5% de descuento; el trimestre mejora, pero esos pedidos ya no llegan después.</t>
        </is>
      </c>
      <c r="L43" s="4" t="n"/>
      <c r="M43" s="4" t="n"/>
      <c r="N43" s="4" t="n"/>
      <c r="O43" s="6" t="inlineStr">
        <is>
          <t>A draft health rule is published and 3 large clients hold back purchases.</t>
        </is>
      </c>
      <c r="P43" s="6" t="inlineStr">
        <is>
          <t>Pull sales forward</t>
        </is>
      </c>
      <c r="Q43" s="6" t="inlineStr">
        <is>
          <t>You give 5% off to whoever buys before the rule is final.</t>
        </is>
      </c>
      <c r="R43" s="6" t="inlineStr">
        <is>
          <t>Sales ↑ · Incentives ↑</t>
        </is>
      </c>
      <c r="S43" s="6" t="inlineStr">
        <is>
          <t>Shortcut: you pulled sales forward with 5% off; the quarter improves, but those orders will not return.</t>
        </is>
      </c>
      <c r="T43" s="4" t="n"/>
    </row>
    <row r="44" ht="40.5" customHeight="1">
      <c r="A44" s="6" t="inlineStr">
        <is>
          <t>m03e</t>
        </is>
      </c>
      <c r="B44" s="6" t="inlineStr">
        <is>
          <t>Cualquiera</t>
        </is>
      </c>
      <c r="C44" s="6" t="inlineStr">
        <is>
          <t>ENTORNO</t>
        </is>
      </c>
      <c r="D44" s="6" t="inlineStr">
        <is>
          <t>HOSPITALES</t>
        </is>
      </c>
      <c r="E44" s="6" t="inlineStr">
        <is>
          <t>Sale un borrador de norma sanitaria y 3 clientes grandes frenan compras.</t>
        </is>
      </c>
      <c r="F44" s="6" t="inlineStr">
        <is>
          <t>Congelar precios</t>
        </is>
      </c>
      <c r="G44" s="6" t="inlineStr">
        <is>
          <t>Congelas los precios por 12 meses para tranquilizar a los 3 clientes.</t>
        </is>
      </c>
      <c r="H44" s="6" t="inlineStr">
        <is>
          <t>Ventas ↓</t>
        </is>
      </c>
      <c r="I44" s="6" t="inlineStr">
        <is>
          <t>Ventas</t>
        </is>
      </c>
      <c r="J44" s="6" t="inlineStr">
        <is>
          <t>Ceder</t>
        </is>
      </c>
      <c r="K44" s="6" t="inlineStr">
        <is>
          <t>Cesión: congelaste precios 12 meses para tranquilizar; los clientes siguen firmes y tu margen queda sin reajuste.</t>
        </is>
      </c>
      <c r="L44" s="4" t="n"/>
      <c r="M44" s="4" t="n"/>
      <c r="N44" s="4" t="n"/>
      <c r="O44" s="6" t="inlineStr">
        <is>
          <t>A draft health rule is published and 3 large clients hold back purchases.</t>
        </is>
      </c>
      <c r="P44" s="6" t="inlineStr">
        <is>
          <t>Freeze prices</t>
        </is>
      </c>
      <c r="Q44" s="6" t="inlineStr">
        <is>
          <t>You freeze prices over 12 months to reassure the 3 clients.</t>
        </is>
      </c>
      <c r="R44" s="6" t="inlineStr">
        <is>
          <t>Sales ↓</t>
        </is>
      </c>
      <c r="S44" s="6" t="inlineStr">
        <is>
          <t>Concession: you froze prices for 12 months to reassure; clients stay firm and your margin gets no adjustment.</t>
        </is>
      </c>
      <c r="T44" s="4" t="n"/>
    </row>
    <row r="45" ht="40.5" customHeight="1">
      <c r="A45" s="6" t="inlineStr">
        <is>
          <t>m03e</t>
        </is>
      </c>
      <c r="B45" s="6" t="inlineStr">
        <is>
          <t>Cualquiera</t>
        </is>
      </c>
      <c r="C45" s="6" t="inlineStr">
        <is>
          <t>ENTORNO</t>
        </is>
      </c>
      <c r="D45" s="6" t="inlineStr">
        <is>
          <t>HOSPITALES</t>
        </is>
      </c>
      <c r="E45" s="6" t="inlineStr">
        <is>
          <t>Sale un borrador de norma sanitaria y 3 clientes grandes frenan compras.</t>
        </is>
      </c>
      <c r="F45" s="6" t="inlineStr">
        <is>
          <t>Norma primero</t>
        </is>
      </c>
      <c r="G45" s="6" t="inlineStr">
        <is>
          <t>Esperas el texto final de la norma, en 2 meses, antes de mover el plan.</t>
        </is>
      </c>
      <c r="H45" s="6" t="inlineStr">
        <is>
          <t>Ventas ↓</t>
        </is>
      </c>
      <c r="I45" s="6" t="inlineStr">
        <is>
          <t>Ventas</t>
        </is>
      </c>
      <c r="J45" s="6" t="inlineStr">
        <is>
          <t>Pasiva</t>
        </is>
      </c>
      <c r="K45" s="6" t="inlineStr">
        <is>
          <t>Pasividad: esperaste el texto final y mientras tanto los pedidos de los 3 clientes siguieron frenados.</t>
        </is>
      </c>
      <c r="L45" s="4" t="n"/>
      <c r="M45" s="4" t="n"/>
      <c r="N45" s="4" t="n"/>
      <c r="O45" s="6" t="inlineStr">
        <is>
          <t>A draft health rule is published and 3 large clients hold back purchases.</t>
        </is>
      </c>
      <c r="P45" s="6" t="inlineStr">
        <is>
          <t>Rule comes first</t>
        </is>
      </c>
      <c r="Q45" s="6" t="inlineStr">
        <is>
          <t>You wait for the final text of the rule, in 2 months, before moving the plan.</t>
        </is>
      </c>
      <c r="R45" s="6" t="inlineStr">
        <is>
          <t>Sales ↓</t>
        </is>
      </c>
      <c r="S45" s="6" t="inlineStr">
        <is>
          <t>Passivity: you waited for the final text and meanwhile the orders of the 3 clients stayed frozen.</t>
        </is>
      </c>
      <c r="T45" s="4" t="n"/>
    </row>
    <row r="46" ht="40.5" customHeight="1">
      <c r="A46" s="6" t="inlineStr">
        <is>
          <t>m03s</t>
        </is>
      </c>
      <c r="B46" s="6" t="inlineStr">
        <is>
          <t>Cualquiera</t>
        </is>
      </c>
      <c r="C46" s="6" t="inlineStr">
        <is>
          <t>ESTRATEGIA</t>
        </is>
      </c>
      <c r="D46" s="6" t="inlineStr">
        <is>
          <t>ALIMENTOS</t>
        </is>
      </c>
      <c r="E46" s="6" t="inlineStr">
        <is>
          <t>Oportunidad: un programa de ahorro de agua que 5 plantas preguntaron.</t>
        </is>
      </c>
      <c r="F46" s="6" t="inlineStr">
        <is>
          <t>Piloto acotado</t>
        </is>
      </c>
      <c r="G46" s="6" t="inlineStr">
        <is>
          <t>Lo pruebas 3 meses en un cliente amigo y mides el efecto antes de escalar.</t>
        </is>
      </c>
      <c r="H46" s="6" t="inlineStr">
        <is>
          <t>Ventas ↑ · Direct Chg ↑</t>
        </is>
      </c>
      <c r="I46" s="6" t="inlineStr">
        <is>
          <t>Ventas</t>
        </is>
      </c>
      <c r="J46" s="6" t="inlineStr">
        <is>
          <t>Equilibrada</t>
        </is>
      </c>
      <c r="K46" s="6" t="inlineStr">
        <is>
          <t>Equilibrada: el piloto de 3 meses con un cliente amigo cuesta servicio hoy y deja un resultado medido para escalar.</t>
        </is>
      </c>
      <c r="L46" s="4" t="n"/>
      <c r="M46" s="4" t="n"/>
      <c r="N46" s="4" t="n"/>
      <c r="O46" s="6" t="inlineStr">
        <is>
          <t>An opportunity: a water-saving program that 5 plants asked about.</t>
        </is>
      </c>
      <c r="P46" s="6" t="inlineStr">
        <is>
          <t>Narrow pilot</t>
        </is>
      </c>
      <c r="Q46" s="6" t="inlineStr">
        <is>
          <t>You test it for 3 months at a friendly client and measure the effect.</t>
        </is>
      </c>
      <c r="R46" s="6" t="inlineStr">
        <is>
          <t>Sales ↑ · Direct Chg ↑</t>
        </is>
      </c>
      <c r="S46" s="6" t="inlineStr">
        <is>
          <t>Balanced: the 3-month pilot with a friendly client costs service today and leaves a measured result to scale.</t>
        </is>
      </c>
      <c r="T46" s="4" t="n"/>
    </row>
    <row r="47" ht="27" customHeight="1">
      <c r="A47" s="6" t="inlineStr">
        <is>
          <t>m03s</t>
        </is>
      </c>
      <c r="B47" s="6" t="inlineStr">
        <is>
          <t>Cualquiera</t>
        </is>
      </c>
      <c r="C47" s="6" t="inlineStr">
        <is>
          <t>ESTRATEGIA</t>
        </is>
      </c>
      <c r="D47" s="6" t="inlineStr">
        <is>
          <t>ALIMENTOS</t>
        </is>
      </c>
      <c r="E47" s="6" t="inlineStr">
        <is>
          <t>Oportunidad: un programa de ahorro de agua que 5 plantas preguntaron.</t>
        </is>
      </c>
      <c r="F47" s="6" t="inlineStr">
        <is>
          <t>Lanzar a todos</t>
        </is>
      </c>
      <c r="G47" s="6" t="inlineStr">
        <is>
          <t>Lo ofreces ya a las 5 plantas, con resultados que prometes lograr.</t>
        </is>
      </c>
      <c r="H47" s="6" t="inlineStr">
        <is>
          <t>Direct Chg ↑ · volumen +4,8%</t>
        </is>
      </c>
      <c r="I47" s="6" t="inlineStr">
        <is>
          <t>Ventas</t>
        </is>
      </c>
      <c r="J47" s="6" t="inlineStr">
        <is>
          <t>Atajo</t>
        </is>
      </c>
      <c r="K47" s="6" t="inlineStr">
        <is>
          <t>Atajo: vendiste a las 5 plantas prometiendo resultados: ventas hoy, reclamos si no se cumplen.</t>
        </is>
      </c>
      <c r="L47" s="4" t="n"/>
      <c r="M47" s="4" t="n"/>
      <c r="N47" s="4" t="n"/>
      <c r="O47" s="6" t="inlineStr">
        <is>
          <t>An opportunity: a water-saving program that 5 plants asked about.</t>
        </is>
      </c>
      <c r="P47" s="6" t="inlineStr">
        <is>
          <t>Launch to all</t>
        </is>
      </c>
      <c r="Q47" s="6" t="inlineStr">
        <is>
          <t>You offer it to the 5 plants now, with results you promise to deliver.</t>
        </is>
      </c>
      <c r="R47" s="6" t="inlineStr">
        <is>
          <t>Direct Chg ↑ · volume +4.8%</t>
        </is>
      </c>
      <c r="S47" s="6" t="inlineStr">
        <is>
          <t>Shortcut: you sold all 5 plants on promised results: sales today, claims if they are not met.</t>
        </is>
      </c>
      <c r="T47" s="4" t="n"/>
    </row>
    <row r="48" ht="27" customHeight="1">
      <c r="A48" s="6" t="inlineStr">
        <is>
          <t>m03s</t>
        </is>
      </c>
      <c r="B48" s="6" t="inlineStr">
        <is>
          <t>Cualquiera</t>
        </is>
      </c>
      <c r="C48" s="6" t="inlineStr">
        <is>
          <t>ESTRATEGIA</t>
        </is>
      </c>
      <c r="D48" s="6" t="inlineStr">
        <is>
          <t>ALIMENTOS</t>
        </is>
      </c>
      <c r="E48" s="6" t="inlineStr">
        <is>
          <t>Oportunidad: un programa de ahorro de agua que 5 plantas preguntaron.</t>
        </is>
      </c>
      <c r="F48" s="6" t="inlineStr">
        <is>
          <t>Armar propuesta</t>
        </is>
      </c>
      <c r="G48" s="6" t="inlineStr">
        <is>
          <t>Preparas una propuesta con presupuesto y partes cuando la aprueben.</t>
        </is>
      </c>
      <c r="H48" s="6" t="inlineStr">
        <is>
          <t>SG&amp;A ↑</t>
        </is>
      </c>
      <c r="I48" s="6" t="inlineStr">
        <is>
          <t>SG&amp;A</t>
        </is>
      </c>
      <c r="J48" s="6" t="inlineStr">
        <is>
          <t>Ceder</t>
        </is>
      </c>
      <c r="K48" s="6" t="inlineStr">
        <is>
          <t>Cesión: armaste la propuesta y esperas aprobación; el gasto comercial corre y las ventas aún no.</t>
        </is>
      </c>
      <c r="L48" s="4" t="n"/>
      <c r="M48" s="4" t="n"/>
      <c r="N48" s="4" t="n"/>
      <c r="O48" s="6" t="inlineStr">
        <is>
          <t>An opportunity: a water-saving program that 5 plants asked about.</t>
        </is>
      </c>
      <c r="P48" s="6" t="inlineStr">
        <is>
          <t>Draft a proposal</t>
        </is>
      </c>
      <c r="Q48" s="6" t="inlineStr">
        <is>
          <t>You prepare a proposal with a budget and start when it is approved.</t>
        </is>
      </c>
      <c r="R48" s="6" t="inlineStr">
        <is>
          <t>SG&amp;A ↑</t>
        </is>
      </c>
      <c r="S48" s="6" t="inlineStr">
        <is>
          <t>Concession: you drafted the proposal and await approval; commercial spend runs, sales do not yet.</t>
        </is>
      </c>
      <c r="T48" s="4" t="n"/>
    </row>
    <row r="49" ht="27" customHeight="1">
      <c r="A49" s="6" t="inlineStr">
        <is>
          <t>m03s</t>
        </is>
      </c>
      <c r="B49" s="6" t="inlineStr">
        <is>
          <t>Cualquiera</t>
        </is>
      </c>
      <c r="C49" s="6" t="inlineStr">
        <is>
          <t>ESTRATEGIA</t>
        </is>
      </c>
      <c r="D49" s="6" t="inlineStr">
        <is>
          <t>ALIMENTOS</t>
        </is>
      </c>
      <c r="E49" s="6" t="inlineStr">
        <is>
          <t>Oportunidad: un programa de ahorro de agua que 5 plantas preguntaron.</t>
        </is>
      </c>
      <c r="F49" s="6" t="inlineStr">
        <is>
          <t>Otra oportunidad</t>
        </is>
      </c>
      <c r="G49" s="6" t="inlineStr">
        <is>
          <t>Priorizas los 4 proyectos del año y el programa queda para otra oportunidad.</t>
        </is>
      </c>
      <c r="H49" s="6" t="inlineStr">
        <is>
          <t>Ventas ↓</t>
        </is>
      </c>
      <c r="I49" s="6" t="inlineStr">
        <is>
          <t>Ventas</t>
        </is>
      </c>
      <c r="J49" s="6" t="inlineStr">
        <is>
          <t>Pasiva</t>
        </is>
      </c>
      <c r="K49" s="6" t="inlineStr">
        <is>
          <t>Pasividad: dejaste el programa para otra oportunidad y las 5 plantas preguntaron a otro proveedor.</t>
        </is>
      </c>
      <c r="L49" s="4" t="n"/>
      <c r="M49" s="4" t="n"/>
      <c r="N49" s="4" t="n"/>
      <c r="O49" s="6" t="inlineStr">
        <is>
          <t>An opportunity: a water-saving program that 5 plants asked about.</t>
        </is>
      </c>
      <c r="P49" s="6" t="inlineStr">
        <is>
          <t>Another chance</t>
        </is>
      </c>
      <c r="Q49" s="6" t="inlineStr">
        <is>
          <t>You prioritize the 4 projects of the year and park the program.</t>
        </is>
      </c>
      <c r="R49" s="6" t="inlineStr">
        <is>
          <t>Sales ↓</t>
        </is>
      </c>
      <c r="S49" s="6" t="inlineStr">
        <is>
          <t>Passivity: you left the program for another chance and the 5 plants asked another supplier.</t>
        </is>
      </c>
      <c r="T49" s="4" t="n"/>
    </row>
    <row r="50" ht="40.5" customHeight="1">
      <c r="A50" s="6" t="inlineStr">
        <is>
          <t>m04c</t>
        </is>
      </c>
      <c r="B50" s="6" t="inlineStr">
        <is>
          <t>Cualquiera</t>
        </is>
      </c>
      <c r="C50" s="6" t="inlineStr">
        <is>
          <t>CLIENTE</t>
        </is>
      </c>
      <c r="D50" s="6" t="inlineStr">
        <is>
          <t>HOSPITALES</t>
        </is>
      </c>
      <c r="E50" s="6" t="inlineStr">
        <is>
          <t>Un cliente recorta 10% su presupuesto de insumos y pide bajar los precios.</t>
        </is>
      </c>
      <c r="F50" s="6" t="inlineStr">
        <is>
          <t>Bajar su consumo</t>
        </is>
      </c>
      <c r="G50" s="6" t="inlineStr">
        <is>
          <t>Ajustas la dosis para que gaste 10% menos y cobras un servicio por ello.</t>
        </is>
      </c>
      <c r="H50" s="6" t="inlineStr">
        <is>
          <t>Ventas ↑ · Direct Chg ↑</t>
        </is>
      </c>
      <c r="I50" s="6" t="inlineStr">
        <is>
          <t>Ventas</t>
        </is>
      </c>
      <c r="J50" s="6" t="inlineStr">
        <is>
          <t>Equilibrada</t>
        </is>
      </c>
      <c r="K50" s="6" t="inlineStr">
        <is>
          <t>Equilibrada: el hospital gasta menos y paga un servicio por el ahorro; se queda y tu margen se cuida.</t>
        </is>
      </c>
      <c r="L50" s="4" t="n"/>
      <c r="M50" s="4" t="n"/>
      <c r="N50" s="4" t="n"/>
      <c r="O50" s="6" t="inlineStr">
        <is>
          <t>A client cuts its input budget 10% and asks for lower prices.</t>
        </is>
      </c>
      <c r="P50" s="6" t="inlineStr">
        <is>
          <t>Lower their usage</t>
        </is>
      </c>
      <c r="Q50" s="6" t="inlineStr">
        <is>
          <t>You adjust the dosing so it spends 10% less and bill a service for that saving.</t>
        </is>
      </c>
      <c r="R50" s="6" t="inlineStr">
        <is>
          <t>Sales ↑ · Direct Chg ↑</t>
        </is>
      </c>
      <c r="S50" s="6" t="inlineStr">
        <is>
          <t>Balanced: the hospital spends less and pays a service for the savings; it stays, your margin holds.</t>
        </is>
      </c>
      <c r="T50" s="4" t="n"/>
    </row>
    <row r="51" ht="40.5" customHeight="1">
      <c r="A51" s="6" t="inlineStr">
        <is>
          <t>m04c</t>
        </is>
      </c>
      <c r="B51" s="6" t="inlineStr">
        <is>
          <t>Cualquiera</t>
        </is>
      </c>
      <c r="C51" s="6" t="inlineStr">
        <is>
          <t>CLIENTE</t>
        </is>
      </c>
      <c r="D51" s="6" t="inlineStr">
        <is>
          <t>HOSPITALES</t>
        </is>
      </c>
      <c r="E51" s="6" t="inlineStr">
        <is>
          <t>Un cliente recorta 10% su presupuesto de insumos y pide bajar los precios.</t>
        </is>
      </c>
      <c r="F51" s="6" t="inlineStr">
        <is>
          <t>Cambiar el mix</t>
        </is>
      </c>
      <c r="G51" s="6" t="inlineStr">
        <is>
          <t>Rebajas 5% el producto principal y subes 5% los servicios del contrato.</t>
        </is>
      </c>
      <c r="H51" s="6" t="inlineStr">
        <is>
          <t>Ventas ↑</t>
        </is>
      </c>
      <c r="I51" s="6" t="inlineStr">
        <is>
          <t>Ventas</t>
        </is>
      </c>
      <c r="J51" s="6" t="inlineStr">
        <is>
          <t>Atajo</t>
        </is>
      </c>
      <c r="K51" s="6" t="inlineStr">
        <is>
          <t>Atajo: bajaste el producto y subiste los servicios; el trato cierra, pero el cliente verá el recargo.</t>
        </is>
      </c>
      <c r="L51" s="4" t="n"/>
      <c r="M51" s="4" t="n"/>
      <c r="N51" s="4" t="n"/>
      <c r="O51" s="6" t="inlineStr">
        <is>
          <t>A client cuts its input budget 10% and asks for lower prices.</t>
        </is>
      </c>
      <c r="P51" s="6" t="inlineStr">
        <is>
          <t>Change the mix</t>
        </is>
      </c>
      <c r="Q51" s="6" t="inlineStr">
        <is>
          <t>You cut the main product 5% and recover it with 5% more on services.</t>
        </is>
      </c>
      <c r="R51" s="6" t="inlineStr">
        <is>
          <t>Sales ↑</t>
        </is>
      </c>
      <c r="S51" s="6" t="inlineStr">
        <is>
          <t>Shortcut: you cut the product and raised services; the deal closes, but the client will see it.</t>
        </is>
      </c>
      <c r="T51" s="4" t="n"/>
    </row>
    <row r="52" ht="40.5" customHeight="1">
      <c r="A52" s="6" t="inlineStr">
        <is>
          <t>m04c</t>
        </is>
      </c>
      <c r="B52" s="6" t="inlineStr">
        <is>
          <t>Cualquiera</t>
        </is>
      </c>
      <c r="C52" s="6" t="inlineStr">
        <is>
          <t>CLIENTE</t>
        </is>
      </c>
      <c r="D52" s="6" t="inlineStr">
        <is>
          <t>HOSPITALES</t>
        </is>
      </c>
      <c r="E52" s="6" t="inlineStr">
        <is>
          <t>Un cliente recorta 10% su presupuesto de insumos y pide bajar los precios.</t>
        </is>
      </c>
      <c r="F52" s="6" t="inlineStr">
        <is>
          <t>Rebajar el contrato</t>
        </is>
      </c>
      <c r="G52" s="6" t="inlineStr">
        <is>
          <t>Rebajas 5% por 12 meses el precio del contrato, y el cliente se queda.</t>
        </is>
      </c>
      <c r="H52" s="6" t="inlineStr">
        <is>
          <t>Ventas ↓</t>
        </is>
      </c>
      <c r="I52" s="6" t="inlineStr">
        <is>
          <t>Ventas</t>
        </is>
      </c>
      <c r="J52" s="6" t="inlineStr">
        <is>
          <t>Ceder</t>
        </is>
      </c>
      <c r="K52" s="6" t="inlineStr">
        <is>
          <t>Cesión: rebajaste 5% por 12 meses y el cliente se quedó; ese descuento se paga todo el año.</t>
        </is>
      </c>
      <c r="L52" s="4" t="n"/>
      <c r="M52" s="4" t="n"/>
      <c r="N52" s="4" t="n"/>
      <c r="O52" s="6" t="inlineStr">
        <is>
          <t>A client cuts its input budget 10% and asks for lower prices.</t>
        </is>
      </c>
      <c r="P52" s="6" t="inlineStr">
        <is>
          <t>Cut the contract</t>
        </is>
      </c>
      <c r="Q52" s="6" t="inlineStr">
        <is>
          <t>You cut the contract price 5% over 12 months, and the client stays.</t>
        </is>
      </c>
      <c r="R52" s="6" t="inlineStr">
        <is>
          <t>Sales ↓</t>
        </is>
      </c>
      <c r="S52" s="6" t="inlineStr">
        <is>
          <t>Concession: you cut 5% for 12 months and the client stayed; that discount is paid all year.</t>
        </is>
      </c>
      <c r="T52" s="4" t="n"/>
    </row>
    <row r="53" ht="40.5" customHeight="1">
      <c r="A53" s="6" t="inlineStr">
        <is>
          <t>m04c</t>
        </is>
      </c>
      <c r="B53" s="6" t="inlineStr">
        <is>
          <t>Cualquiera</t>
        </is>
      </c>
      <c r="C53" s="6" t="inlineStr">
        <is>
          <t>CLIENTE</t>
        </is>
      </c>
      <c r="D53" s="6" t="inlineStr">
        <is>
          <t>HOSPITALES</t>
        </is>
      </c>
      <c r="E53" s="6" t="inlineStr">
        <is>
          <t>Un cliente recorta 10% su presupuesto de insumos y pide bajar los precios.</t>
        </is>
      </c>
      <c r="F53" s="6" t="inlineStr">
        <is>
          <t>Sostener términos</t>
        </is>
      </c>
      <c r="G53" s="6" t="inlineStr">
        <is>
          <t>Mantienes los términos vigentes y el cliente decide en 30 días si se queda.</t>
        </is>
      </c>
      <c r="H53" s="6" t="inlineStr">
        <is>
          <t>Ventas ↓</t>
        </is>
      </c>
      <c r="I53" s="6" t="inlineStr">
        <is>
          <t>Ventas</t>
        </is>
      </c>
      <c r="J53" s="6" t="inlineStr">
        <is>
          <t>Pasiva</t>
        </is>
      </c>
      <c r="K53" s="6" t="inlineStr">
        <is>
          <t>Pasividad: mantuviste los términos y en 30 días el comité movió parte del volumen a otro proveedor.</t>
        </is>
      </c>
      <c r="L53" s="4" t="n"/>
      <c r="M53" s="4" t="n"/>
      <c r="N53" s="4" t="n"/>
      <c r="O53" s="6" t="inlineStr">
        <is>
          <t>A client cuts its input budget 10% and asks for lower prices.</t>
        </is>
      </c>
      <c r="P53" s="6" t="inlineStr">
        <is>
          <t>Keep the offer</t>
        </is>
      </c>
      <c r="Q53" s="6" t="inlineStr">
        <is>
          <t>You keep the offer on the same terms and the client decides within 30 days.</t>
        </is>
      </c>
      <c r="R53" s="6" t="inlineStr">
        <is>
          <t>Sales ↓</t>
        </is>
      </c>
      <c r="S53" s="6" t="inlineStr">
        <is>
          <t>Passivity: you held the terms and within 30 days the committee moved part of the volume elsewhere.</t>
        </is>
      </c>
      <c r="T53" s="4" t="n"/>
    </row>
    <row r="54" ht="40.5" customHeight="1">
      <c r="A54" s="6" t="inlineStr">
        <is>
          <t>m04p</t>
        </is>
      </c>
      <c r="B54" s="6" t="inlineStr">
        <is>
          <t>Cualquiera</t>
        </is>
      </c>
      <c r="C54" s="6" t="inlineStr">
        <is>
          <t>PLANTA</t>
        </is>
      </c>
      <c r="D54" s="6" t="inlineStr">
        <is>
          <t>INDUSTRIA</t>
        </is>
      </c>
      <c r="E54" s="6" t="inlineStr">
        <is>
          <t>Se van 2 de 9 operadores clave y los turnos quedan incompletos.</t>
        </is>
      </c>
      <c r="F54" s="6" t="inlineStr">
        <is>
          <t>Plan de relevo</t>
        </is>
      </c>
      <c r="G54" s="6" t="inlineStr">
        <is>
          <t>Capacitas a dos jóvenes con 6 semanas de práctica y reorganizas los turnos.</t>
        </is>
      </c>
      <c r="H54" s="6" t="inlineStr">
        <is>
          <t>Costo ↓ · SG&amp;A ↑</t>
        </is>
      </c>
      <c r="I54" s="6" t="inlineStr">
        <is>
          <t>Costo</t>
        </is>
      </c>
      <c r="J54" s="6" t="inlineStr">
        <is>
          <t>Equilibrada</t>
        </is>
      </c>
      <c r="K54" s="6" t="inlineStr">
        <is>
          <t>Equilibrada: capacitaste a dos jóvenes y reordenaste turnos; cuesta hoy, pero se acaban las horas extra.</t>
        </is>
      </c>
      <c r="L54" s="4" t="n"/>
      <c r="M54" s="4" t="n"/>
      <c r="N54" s="4" t="n"/>
      <c r="O54" s="6" t="inlineStr">
        <is>
          <t>2 of 9 key operators leave and the shifts are left short.</t>
        </is>
      </c>
      <c r="P54" s="6" t="inlineStr">
        <is>
          <t>Relief plan</t>
        </is>
      </c>
      <c r="Q54" s="6" t="inlineStr">
        <is>
          <t>You train two juniors over 6 weeks of practice and reorganize the shifts.</t>
        </is>
      </c>
      <c r="R54" s="6" t="inlineStr">
        <is>
          <t>Cost ↓ · SG&amp;A ↑</t>
        </is>
      </c>
      <c r="S54" s="6" t="inlineStr">
        <is>
          <t>Balanced: you trained two young operators and reorganized shifts; it costs today, but overtime ends.</t>
        </is>
      </c>
      <c r="T54" s="4" t="n"/>
    </row>
    <row r="55" ht="40.5" customHeight="1">
      <c r="A55" s="6" t="inlineStr">
        <is>
          <t>m04p</t>
        </is>
      </c>
      <c r="B55" s="6" t="inlineStr">
        <is>
          <t>Cualquiera</t>
        </is>
      </c>
      <c r="C55" s="6" t="inlineStr">
        <is>
          <t>PLANTA</t>
        </is>
      </c>
      <c r="D55" s="6" t="inlineStr">
        <is>
          <t>INDUSTRIA</t>
        </is>
      </c>
      <c r="E55" s="6" t="inlineStr">
        <is>
          <t>Se van 2 de 9 operadores clave y los turnos quedan incompletos.</t>
        </is>
      </c>
      <c r="F55" s="6" t="inlineStr">
        <is>
          <t>Horas extra</t>
        </is>
      </c>
      <c r="G55" s="6" t="inlineStr">
        <is>
          <t>Pides turnos dobles por un trimestre al equipo que queda.</t>
        </is>
      </c>
      <c r="H55" s="6" t="inlineStr">
        <is>
          <t>Ventas ↑ · Costo ↑</t>
        </is>
      </c>
      <c r="I55" s="6" t="inlineStr">
        <is>
          <t>Ventas</t>
        </is>
      </c>
      <c r="J55" s="6" t="inlineStr">
        <is>
          <t>Atajo</t>
        </is>
      </c>
      <c r="K55" s="6" t="inlineStr">
        <is>
          <t>Atajo: los turnos dobles sostienen la producción un trimestre; el equipo se desgasta y otros pueden irse.</t>
        </is>
      </c>
      <c r="L55" s="4" t="n"/>
      <c r="M55" s="4" t="n"/>
      <c r="N55" s="4" t="n"/>
      <c r="O55" s="6" t="inlineStr">
        <is>
          <t>2 of 9 key operators leave and the shifts are left short.</t>
        </is>
      </c>
      <c r="P55" s="6" t="inlineStr">
        <is>
          <t>Overtime</t>
        </is>
      </c>
      <c r="Q55" s="6" t="inlineStr">
        <is>
          <t>You put the remaining team on double shifts during a quarter.</t>
        </is>
      </c>
      <c r="R55" s="6" t="inlineStr">
        <is>
          <t>Sales ↑ · Cost ↑</t>
        </is>
      </c>
      <c r="S55" s="6" t="inlineStr">
        <is>
          <t>Shortcut: double shifts hold production for a quarter; the team wears out and others might leave.</t>
        </is>
      </c>
      <c r="T55" s="4" t="n"/>
    </row>
    <row r="56" ht="27" customHeight="1">
      <c r="A56" s="6" t="inlineStr">
        <is>
          <t>m04p</t>
        </is>
      </c>
      <c r="B56" s="6" t="inlineStr">
        <is>
          <t>Cualquiera</t>
        </is>
      </c>
      <c r="C56" s="6" t="inlineStr">
        <is>
          <t>PLANTA</t>
        </is>
      </c>
      <c r="D56" s="6" t="inlineStr">
        <is>
          <t>INDUSTRIA</t>
        </is>
      </c>
      <c r="E56" s="6" t="inlineStr">
        <is>
          <t>Se van 2 de 9 operadores clave y los turnos quedan incompletos.</t>
        </is>
      </c>
      <c r="F56" s="6" t="inlineStr">
        <is>
          <t>Subir sueldos</t>
        </is>
      </c>
      <c r="G56" s="6" t="inlineStr">
        <is>
          <t>Subes 8% el sueldo de cada operador del turno y nadie más se va.</t>
        </is>
      </c>
      <c r="H56" s="6" t="inlineStr">
        <is>
          <t>Costo ↑</t>
        </is>
      </c>
      <c r="I56" s="6" t="inlineStr">
        <is>
          <t>Costo</t>
        </is>
      </c>
      <c r="J56" s="6" t="inlineStr">
        <is>
          <t>Ceder</t>
        </is>
      </c>
      <c r="K56" s="6" t="inlineStr">
        <is>
          <t>Cesión: el alza de 8% frenó las renuncias, pero el costo de mano de obra sube para siempre.</t>
        </is>
      </c>
      <c r="L56" s="4" t="n"/>
      <c r="M56" s="4" t="n"/>
      <c r="N56" s="4" t="n"/>
      <c r="O56" s="6" t="inlineStr">
        <is>
          <t>2 of 9 key operators leave and the shifts are left short.</t>
        </is>
      </c>
      <c r="P56" s="6" t="inlineStr">
        <is>
          <t>Raise wages</t>
        </is>
      </c>
      <c r="Q56" s="6" t="inlineStr">
        <is>
          <t>You raise every operator's pay on the shift 8% and nobody else leaves.</t>
        </is>
      </c>
      <c r="R56" s="6" t="inlineStr">
        <is>
          <t>Cost ↑</t>
        </is>
      </c>
      <c r="S56" s="6" t="inlineStr">
        <is>
          <t>Concession: the 8% raise stopped the resignations, but the labor cost rises for good.</t>
        </is>
      </c>
      <c r="T56" s="4" t="n"/>
    </row>
    <row r="57" ht="40.5" customHeight="1">
      <c r="A57" s="6" t="inlineStr">
        <is>
          <t>m04p</t>
        </is>
      </c>
      <c r="B57" s="6" t="inlineStr">
        <is>
          <t>Cualquiera</t>
        </is>
      </c>
      <c r="C57" s="6" t="inlineStr">
        <is>
          <t>PLANTA</t>
        </is>
      </c>
      <c r="D57" s="6" t="inlineStr">
        <is>
          <t>INDUSTRIA</t>
        </is>
      </c>
      <c r="E57" s="6" t="inlineStr">
        <is>
          <t>Se van 2 de 9 operadores clave y los turnos quedan incompletos.</t>
        </is>
      </c>
      <c r="F57" s="6" t="inlineStr">
        <is>
          <t>Cupos vacantes</t>
        </is>
      </c>
      <c r="G57" s="6" t="inlineStr">
        <is>
          <t>Reasignas tareas durante el trimestre y los 2 cupos siguen vacantes.</t>
        </is>
      </c>
      <c r="H57" s="6" t="inlineStr">
        <is>
          <t>Ventas ↓ · Costo ↓</t>
        </is>
      </c>
      <c r="I57" s="6" t="inlineStr">
        <is>
          <t>Ventas</t>
        </is>
      </c>
      <c r="J57" s="6" t="inlineStr">
        <is>
          <t>Pasiva</t>
        </is>
      </c>
      <c r="K57" s="6" t="inlineStr">
        <is>
          <t>Pasividad: dejaste los cupos vacantes: bajó la nómina, pero la producción y la calidad se resintieron.</t>
        </is>
      </c>
      <c r="L57" s="4" t="n"/>
      <c r="M57" s="4" t="n"/>
      <c r="N57" s="4" t="n"/>
      <c r="O57" s="6" t="inlineStr">
        <is>
          <t>2 of 9 key operators leave and the shifts are left short.</t>
        </is>
      </c>
      <c r="P57" s="6" t="inlineStr">
        <is>
          <t>Vacant slots</t>
        </is>
      </c>
      <c r="Q57" s="6" t="inlineStr">
        <is>
          <t>You reassign tasks during the quarter and the 2 slots stay vacant.</t>
        </is>
      </c>
      <c r="R57" s="6" t="inlineStr">
        <is>
          <t>Sales ↓ · Cost ↓</t>
        </is>
      </c>
      <c r="S57" s="6" t="inlineStr">
        <is>
          <t>Passivity: you left the positions empty: payroll fell, but production and quality suffered.</t>
        </is>
      </c>
      <c r="T57" s="4" t="n"/>
    </row>
    <row r="58" ht="40.5" customHeight="1">
      <c r="A58" s="6" t="inlineStr">
        <is>
          <t>m04e</t>
        </is>
      </c>
      <c r="B58" s="6" t="inlineStr">
        <is>
          <t>Cualquiera</t>
        </is>
      </c>
      <c r="C58" s="6" t="inlineStr">
        <is>
          <t>ENTORNO</t>
        </is>
      </c>
      <c r="D58" s="6" t="inlineStr">
        <is>
          <t>INDUSTRIA</t>
        </is>
      </c>
      <c r="E58" s="6" t="inlineStr">
        <is>
          <t>Entra un impuesto verde y los clientes revisan todos sus contratos de insumos.</t>
        </is>
      </c>
      <c r="F58" s="6" t="inlineStr">
        <is>
          <t>Contratos por valor</t>
        </is>
      </c>
      <c r="G58" s="6" t="inlineStr">
        <is>
          <t>Propones contratos atados al ahorro que generas, no solo al volumen.</t>
        </is>
      </c>
      <c r="H58" s="6" t="inlineStr">
        <is>
          <t>Ventas ↑ · Incentivos ↓</t>
        </is>
      </c>
      <c r="I58" s="6" t="inlineStr">
        <is>
          <t>Incentivos</t>
        </is>
      </c>
      <c r="J58" s="6" t="inlineStr">
        <is>
          <t>Equilibrada</t>
        </is>
      </c>
      <c r="K58" s="6" t="inlineStr">
        <is>
          <t>Equilibrada: contratos atados al ahorro que generas: el cliente paga por valor y tú proteges el margen.</t>
        </is>
      </c>
      <c r="L58" s="4" t="n"/>
      <c r="M58" s="4" t="n"/>
      <c r="N58" s="4" t="n"/>
      <c r="O58" s="6" t="inlineStr">
        <is>
          <t>A green tax kicks in and clients review all their input contracts.</t>
        </is>
      </c>
      <c r="P58" s="6" t="inlineStr">
        <is>
          <t>Value-based deals</t>
        </is>
      </c>
      <c r="Q58" s="6" t="inlineStr">
        <is>
          <t>You propose contracts tied to the savings you create, not only volume.</t>
        </is>
      </c>
      <c r="R58" s="6" t="inlineStr">
        <is>
          <t>Sales ↑ · Incentives ↓</t>
        </is>
      </c>
      <c r="S58" s="6" t="inlineStr">
        <is>
          <t>Balanced: contracts tied to the savings you create: the client pays for value and you protect margin.</t>
        </is>
      </c>
      <c r="T58" s="4" t="n"/>
    </row>
    <row r="59" ht="40.5" customHeight="1">
      <c r="A59" s="6" t="inlineStr">
        <is>
          <t>m04e</t>
        </is>
      </c>
      <c r="B59" s="6" t="inlineStr">
        <is>
          <t>Cualquiera</t>
        </is>
      </c>
      <c r="C59" s="6" t="inlineStr">
        <is>
          <t>ENTORNO</t>
        </is>
      </c>
      <c r="D59" s="6" t="inlineStr">
        <is>
          <t>INDUSTRIA</t>
        </is>
      </c>
      <c r="E59" s="6" t="inlineStr">
        <is>
          <t>Entra un impuesto verde y los clientes revisan todos sus contratos de insumos.</t>
        </is>
      </c>
      <c r="F59" s="6" t="inlineStr">
        <is>
          <t>Precio a cautivos</t>
        </is>
      </c>
      <c r="G59" s="6" t="inlineStr">
        <is>
          <t>Subes 6% el precio a los clientes que no tienen otro proveedor calificado.</t>
        </is>
      </c>
      <c r="H59" s="6" t="inlineStr">
        <is>
          <t>Ventas ↑</t>
        </is>
      </c>
      <c r="I59" s="6" t="inlineStr">
        <is>
          <t>Ventas</t>
        </is>
      </c>
      <c r="J59" s="6" t="inlineStr">
        <is>
          <t>Atajo</t>
        </is>
      </c>
      <c r="K59" s="6" t="inlineStr">
        <is>
          <t>Atajo: subiste 6% a los cautivos y el OI sube hoy; en cuanto califiquen a otro proveedor, se irán.</t>
        </is>
      </c>
      <c r="L59" s="4" t="n"/>
      <c r="M59" s="4" t="n"/>
      <c r="N59" s="4" t="n"/>
      <c r="O59" s="6" t="inlineStr">
        <is>
          <t>A green tax kicks in and clients review all their input contracts.</t>
        </is>
      </c>
      <c r="P59" s="6" t="inlineStr">
        <is>
          <t>Squeeze the captive</t>
        </is>
      </c>
      <c r="Q59" s="6" t="inlineStr">
        <is>
          <t>You raise prices 6% for clients that have no other qualified supplier.</t>
        </is>
      </c>
      <c r="R59" s="6" t="inlineStr">
        <is>
          <t>Sales ↑</t>
        </is>
      </c>
      <c r="S59" s="6" t="inlineStr">
        <is>
          <t>Shortcut: you raised captive clients 6%: OI rises today, and they leave once another supplier qualifies.</t>
        </is>
      </c>
      <c r="T59" s="4" t="n"/>
    </row>
    <row r="60" ht="40.5" customHeight="1">
      <c r="A60" s="6" t="inlineStr">
        <is>
          <t>m04e</t>
        </is>
      </c>
      <c r="B60" s="6" t="inlineStr">
        <is>
          <t>Cualquiera</t>
        </is>
      </c>
      <c r="C60" s="6" t="inlineStr">
        <is>
          <t>ENTORNO</t>
        </is>
      </c>
      <c r="D60" s="6" t="inlineStr">
        <is>
          <t>INDUSTRIA</t>
        </is>
      </c>
      <c r="E60" s="6" t="inlineStr">
        <is>
          <t>Entra un impuesto verde y los clientes revisan todos sus contratos de insumos.</t>
        </is>
      </c>
      <c r="F60" s="6" t="inlineStr">
        <is>
          <t>Ofrecer rebaja</t>
        </is>
      </c>
      <c r="G60" s="6" t="inlineStr">
        <is>
          <t>Ofreces 3% de rebaja a los clientes para fidelizarlos antes de que pidan.</t>
        </is>
      </c>
      <c r="H60" s="6" t="inlineStr">
        <is>
          <t>Incentivos ↑</t>
        </is>
      </c>
      <c r="I60" s="6" t="inlineStr">
        <is>
          <t>Incentivos</t>
        </is>
      </c>
      <c r="J60" s="6" t="inlineStr">
        <is>
          <t>Ceder</t>
        </is>
      </c>
      <c r="K60" s="6" t="inlineStr">
        <is>
          <t>Cesión: ofreciste 3% antes de que lo pidieran: fidelizaste, pero regalaste margen que no te exigían.</t>
        </is>
      </c>
      <c r="L60" s="4" t="n"/>
      <c r="M60" s="4" t="n"/>
      <c r="N60" s="4" t="n"/>
      <c r="O60" s="6" t="inlineStr">
        <is>
          <t>A green tax kicks in and clients review all their input contracts.</t>
        </is>
      </c>
      <c r="P60" s="6" t="inlineStr">
        <is>
          <t>Price break</t>
        </is>
      </c>
      <c r="Q60" s="6" t="inlineStr">
        <is>
          <t>You offer clients 3% off to keep them loyal before they ask.</t>
        </is>
      </c>
      <c r="R60" s="6" t="inlineStr">
        <is>
          <t>Incentives ↑</t>
        </is>
      </c>
      <c r="S60" s="6" t="inlineStr">
        <is>
          <t>Concession: you offered 3% before they asked: loyalty bought, but margin given away unprompted.</t>
        </is>
      </c>
      <c r="T60" s="4" t="n"/>
    </row>
    <row r="61" ht="40.5" customHeight="1">
      <c r="A61" s="6" t="inlineStr">
        <is>
          <t>m04e</t>
        </is>
      </c>
      <c r="B61" s="6" t="inlineStr">
        <is>
          <t>Cualquiera</t>
        </is>
      </c>
      <c r="C61" s="6" t="inlineStr">
        <is>
          <t>ENTORNO</t>
        </is>
      </c>
      <c r="D61" s="6" t="inlineStr">
        <is>
          <t>INDUSTRIA</t>
        </is>
      </c>
      <c r="E61" s="6" t="inlineStr">
        <is>
          <t>Entra un impuesto verde y los clientes revisan todos sus contratos de insumos.</t>
        </is>
      </c>
      <c r="F61" s="6" t="inlineStr">
        <is>
          <t>Contestar pedidos</t>
        </is>
      </c>
      <c r="G61" s="6" t="inlineStr">
        <is>
          <t>Contestas las peticiones de renegociar a medida que llegan de los clientes.</t>
        </is>
      </c>
      <c r="H61" s="6" t="inlineStr">
        <is>
          <t>Incentivos ↑</t>
        </is>
      </c>
      <c r="I61" s="6" t="inlineStr">
        <is>
          <t>Incentivos</t>
        </is>
      </c>
      <c r="J61" s="6" t="inlineStr">
        <is>
          <t>Pasiva</t>
        </is>
      </c>
      <c r="K61" s="6" t="inlineStr">
        <is>
          <t>Pasividad: renegociaste a la defensiva, contrato por contrato, y los clientes impusieron sus precios.</t>
        </is>
      </c>
      <c r="L61" s="4" t="n"/>
      <c r="M61" s="4" t="n"/>
      <c r="N61" s="4" t="n"/>
      <c r="O61" s="6" t="inlineStr">
        <is>
          <t>A green tax kicks in and clients review all their input contracts.</t>
        </is>
      </c>
      <c r="P61" s="6" t="inlineStr">
        <is>
          <t>Handle requests</t>
        </is>
      </c>
      <c r="Q61" s="6" t="inlineStr">
        <is>
          <t>You handle renegotiation requests as they come in from clients.</t>
        </is>
      </c>
      <c r="R61" s="6" t="inlineStr">
        <is>
          <t>Incentives ↑</t>
        </is>
      </c>
      <c r="S61" s="6" t="inlineStr">
        <is>
          <t>Passivity: you renegotiated on the defensive, contract by contract, and clients dictated the prices.</t>
        </is>
      </c>
      <c r="T61" s="4" t="n"/>
    </row>
    <row r="62" ht="40.5" customHeight="1">
      <c r="A62" s="6" t="inlineStr">
        <is>
          <t>m04s</t>
        </is>
      </c>
      <c r="B62" s="6" t="inlineStr">
        <is>
          <t>Cualquiera</t>
        </is>
      </c>
      <c r="C62" s="6" t="inlineStr">
        <is>
          <t>ESTRATEGIA</t>
        </is>
      </c>
      <c r="D62" s="6" t="inlineStr">
        <is>
          <t>INDUSTRIA</t>
        </is>
      </c>
      <c r="E62" s="6" t="inlineStr">
        <is>
          <t>Corporativo pide bajar 5% el SG&amp;A desde el próximo mes.</t>
        </is>
      </c>
      <c r="F62" s="6" t="inlineStr">
        <is>
          <t>Recorte selectivo</t>
        </is>
      </c>
      <c r="G62" s="6" t="inlineStr">
        <is>
          <t>Recortas viajes y consultorías y proteges visitas a clientes y medición.</t>
        </is>
      </c>
      <c r="H62" s="6" t="inlineStr">
        <is>
          <t>SG&amp;A ↓</t>
        </is>
      </c>
      <c r="I62" s="6" t="inlineStr">
        <is>
          <t>SG&amp;A</t>
        </is>
      </c>
      <c r="J62" s="6" t="inlineStr">
        <is>
          <t>Equilibrada</t>
        </is>
      </c>
      <c r="K62" s="6" t="inlineStr">
        <is>
          <t>Equilibrada: recortaste viajes y consultorías y protegiste visitas y medición: menos SG&amp;A, mismas ventas.</t>
        </is>
      </c>
      <c r="L62" s="4" t="n"/>
      <c r="M62" s="4" t="n"/>
      <c r="N62" s="4" t="n"/>
      <c r="O62" s="6" t="inlineStr">
        <is>
          <t>Corporate asks to cut SG&amp;A 5% starting next month.</t>
        </is>
      </c>
      <c r="P62" s="6" t="inlineStr">
        <is>
          <t>Selective cut</t>
        </is>
      </c>
      <c r="Q62" s="6" t="inlineStr">
        <is>
          <t>You cut travel and consulting and protect client visits and measurement.</t>
        </is>
      </c>
      <c r="R62" s="6" t="inlineStr">
        <is>
          <t>SG&amp;A ↓</t>
        </is>
      </c>
      <c r="S62" s="6" t="inlineStr">
        <is>
          <t>Balanced: you cut travel and consulting and protected visits and measuring: less SG&amp;A, same sales.</t>
        </is>
      </c>
      <c r="T62" s="4" t="n"/>
    </row>
    <row r="63" ht="27" customHeight="1">
      <c r="A63" s="6" t="inlineStr">
        <is>
          <t>m04s</t>
        </is>
      </c>
      <c r="B63" s="6" t="inlineStr">
        <is>
          <t>Cualquiera</t>
        </is>
      </c>
      <c r="C63" s="6" t="inlineStr">
        <is>
          <t>ESTRATEGIA</t>
        </is>
      </c>
      <c r="D63" s="6" t="inlineStr">
        <is>
          <t>INDUSTRIA</t>
        </is>
      </c>
      <c r="E63" s="6" t="inlineStr">
        <is>
          <t>Corporativo pide bajar 5% el SG&amp;A desde el próximo mes.</t>
        </is>
      </c>
      <c r="F63" s="6" t="inlineStr">
        <is>
          <t>Recorte parejo</t>
        </is>
      </c>
      <c r="G63" s="6" t="inlineStr">
        <is>
          <t>Recortas cada partida 5% parejo para llegar a la meta de corporativo.</t>
        </is>
      </c>
      <c r="H63" s="6" t="inlineStr">
        <is>
          <t>Ventas ↓ · SG&amp;A ↓</t>
        </is>
      </c>
      <c r="I63" s="6" t="inlineStr">
        <is>
          <t>SG&amp;A</t>
        </is>
      </c>
      <c r="J63" s="6" t="inlineStr">
        <is>
          <t>Atajo</t>
        </is>
      </c>
      <c r="K63" s="6" t="inlineStr">
        <is>
          <t>Atajo: recortaste todo 5% parejo: cumples la meta, pero también cortaste lo que sostiene las ventas.</t>
        </is>
      </c>
      <c r="L63" s="4" t="n"/>
      <c r="M63" s="4" t="n"/>
      <c r="N63" s="4" t="n"/>
      <c r="O63" s="6" t="inlineStr">
        <is>
          <t>Corporate asks to cut SG&amp;A 5% starting next month.</t>
        </is>
      </c>
      <c r="P63" s="6" t="inlineStr">
        <is>
          <t>Flat cut</t>
        </is>
      </c>
      <c r="Q63" s="6" t="inlineStr">
        <is>
          <t>You cut every line 5% evenly to reach corporate's target.</t>
        </is>
      </c>
      <c r="R63" s="6" t="inlineStr">
        <is>
          <t>Sales ↓ · SG&amp;A ↓</t>
        </is>
      </c>
      <c r="S63" s="6" t="inlineStr">
        <is>
          <t>Shortcut: you cut everything 5% evenly: you hit the target, but also cut what holds up sales.</t>
        </is>
      </c>
      <c r="T63" s="4" t="n"/>
    </row>
    <row r="64" ht="40.5" customHeight="1">
      <c r="A64" s="6" t="inlineStr">
        <is>
          <t>m04s</t>
        </is>
      </c>
      <c r="B64" s="6" t="inlineStr">
        <is>
          <t>Cualquiera</t>
        </is>
      </c>
      <c r="C64" s="6" t="inlineStr">
        <is>
          <t>ESTRATEGIA</t>
        </is>
      </c>
      <c r="D64" s="6" t="inlineStr">
        <is>
          <t>INDUSTRIA</t>
        </is>
      </c>
      <c r="E64" s="6" t="inlineStr">
        <is>
          <t>Corporativo pide bajar 5% el SG&amp;A desde el próximo mes.</t>
        </is>
      </c>
      <c r="F64" s="6" t="inlineStr">
        <is>
          <t>Pedir excepción</t>
        </is>
      </c>
      <c r="G64" s="6" t="inlineStr">
        <is>
          <t>Pides una excepción con el argumento del plan comercial de este semestre.</t>
        </is>
      </c>
      <c r="H64" s="6" t="inlineStr">
        <is>
          <t>SG&amp;A ↑</t>
        </is>
      </c>
      <c r="I64" s="6" t="inlineStr">
        <is>
          <t>SG&amp;A</t>
        </is>
      </c>
      <c r="J64" s="6" t="inlineStr">
        <is>
          <t>Ceder</t>
        </is>
      </c>
      <c r="K64" s="6" t="inlineStr">
        <is>
          <t>Cesión: pediste una excepción y el SG&amp;A no baja; corporativo anota que no cumpliste el recorte.</t>
        </is>
      </c>
      <c r="L64" s="4" t="n"/>
      <c r="M64" s="4" t="n"/>
      <c r="N64" s="4" t="n"/>
      <c r="O64" s="6" t="inlineStr">
        <is>
          <t>Corporate asks to cut SG&amp;A 5% starting next month.</t>
        </is>
      </c>
      <c r="P64" s="6" t="inlineStr">
        <is>
          <t>Ask for exemption</t>
        </is>
      </c>
      <c r="Q64" s="6" t="inlineStr">
        <is>
          <t>You ask for an exemption citing this half-year's commercial plan.</t>
        </is>
      </c>
      <c r="R64" s="6" t="inlineStr">
        <is>
          <t>SG&amp;A ↑</t>
        </is>
      </c>
      <c r="S64" s="6" t="inlineStr">
        <is>
          <t>Concession: you asked for an exception and the SG&amp;A does not fall; corporate notes you missed the cut.</t>
        </is>
      </c>
      <c r="T64" s="4" t="n"/>
    </row>
    <row r="65" ht="27" customHeight="1">
      <c r="A65" s="6" t="inlineStr">
        <is>
          <t>m04s</t>
        </is>
      </c>
      <c r="B65" s="6" t="inlineStr">
        <is>
          <t>Cualquiera</t>
        </is>
      </c>
      <c r="C65" s="6" t="inlineStr">
        <is>
          <t>ESTRATEGIA</t>
        </is>
      </c>
      <c r="D65" s="6" t="inlineStr">
        <is>
          <t>INDUSTRIA</t>
        </is>
      </c>
      <c r="E65" s="6" t="inlineStr">
        <is>
          <t>Corporativo pide bajar 5% el SG&amp;A desde el próximo mes.</t>
        </is>
      </c>
      <c r="F65" s="6" t="inlineStr">
        <is>
          <t>Agendar revisión</t>
        </is>
      </c>
      <c r="G65" s="6" t="inlineStr">
        <is>
          <t>Llevas la orden a la reunión de presupuesto de fin de trimestre.</t>
        </is>
      </c>
      <c r="H65" s="6" t="inlineStr">
        <is>
          <t>SG&amp;A ↑</t>
        </is>
      </c>
      <c r="I65" s="6" t="inlineStr">
        <is>
          <t>SG&amp;A</t>
        </is>
      </c>
      <c r="J65" s="6" t="inlineStr">
        <is>
          <t>Pasiva</t>
        </is>
      </c>
      <c r="K65" s="6" t="inlineStr">
        <is>
          <t>Pasividad: llevaste la orden a la reunión de fin de trimestre y mientras tanto el SG&amp;A siguió igual.</t>
        </is>
      </c>
      <c r="L65" s="4" t="n"/>
      <c r="M65" s="4" t="n"/>
      <c r="N65" s="4" t="n"/>
      <c r="O65" s="6" t="inlineStr">
        <is>
          <t>Corporate asks to cut SG&amp;A 5% starting next month.</t>
        </is>
      </c>
      <c r="P65" s="6" t="inlineStr">
        <is>
          <t>Schedule a review</t>
        </is>
      </c>
      <c r="Q65" s="6" t="inlineStr">
        <is>
          <t>You take the order to the budget meeting at quarter end.</t>
        </is>
      </c>
      <c r="R65" s="6" t="inlineStr">
        <is>
          <t>SG&amp;A ↑</t>
        </is>
      </c>
      <c r="S65" s="6" t="inlineStr">
        <is>
          <t>Passivity: you took the order to the quarter-end meeting and meanwhile the SG&amp;A stayed the same.</t>
        </is>
      </c>
      <c r="T65" s="4" t="n"/>
    </row>
    <row r="66" ht="27" customHeight="1">
      <c r="A66" s="6" t="inlineStr">
        <is>
          <t>m05c</t>
        </is>
      </c>
      <c r="B66" s="6" t="inlineStr">
        <is>
          <t>Cualquiera</t>
        </is>
      </c>
      <c r="C66" s="6" t="inlineStr">
        <is>
          <t>CLIENTE</t>
        </is>
      </c>
      <c r="D66" s="6" t="inlineStr">
        <is>
          <t>HOSPITALES</t>
        </is>
      </c>
      <c r="E66" s="6" t="inlineStr">
        <is>
          <t>Un cliente (9% de tus ventas) pide visitas semanales sin pagar más.</t>
        </is>
      </c>
      <c r="F66" s="6" t="inlineStr">
        <is>
          <t>Visitas por demanda</t>
        </is>
      </c>
      <c r="G66" s="6" t="inlineStr">
        <is>
          <t>Ofreces monitoreo remoto para que se visite solo si el dato lo pide.</t>
        </is>
      </c>
      <c r="H66" s="6" t="inlineStr">
        <is>
          <t>Direct Chg ↓ · SG&amp;A ↑</t>
        </is>
      </c>
      <c r="I66" s="6" t="inlineStr">
        <is>
          <t>Direct Chg</t>
        </is>
      </c>
      <c r="J66" s="6" t="inlineStr">
        <is>
          <t>Equilibrada</t>
        </is>
      </c>
      <c r="K66" s="6" t="inlineStr">
        <is>
          <t>Equilibrada: el monitoreo evita visitas de más: hospital atendido y menos Direct Chg.</t>
        </is>
      </c>
      <c r="L66" s="4" t="n"/>
      <c r="M66" s="4" t="n"/>
      <c r="N66" s="4" t="n"/>
      <c r="O66" s="6" t="inlineStr">
        <is>
          <t>A client (9% of your sales) asks for weekly visits at no extra charge.</t>
        </is>
      </c>
      <c r="P66" s="6" t="inlineStr">
        <is>
          <t>Visits on demand</t>
        </is>
      </c>
      <c r="Q66" s="6" t="inlineStr">
        <is>
          <t>You offer remote monitoring so that visits happen only when the data asks.</t>
        </is>
      </c>
      <c r="R66" s="6" t="inlineStr">
        <is>
          <t>Direct Chg ↓ · SG&amp;A ↑</t>
        </is>
      </c>
      <c r="S66" s="6" t="inlineStr">
        <is>
          <t>Balanced: remote monitoring avoids extra visits: the hospital is served and Direct Chg fall.</t>
        </is>
      </c>
      <c r="T66" s="4" t="n"/>
    </row>
    <row r="67" ht="40.5" customHeight="1">
      <c r="A67" s="6" t="inlineStr">
        <is>
          <t>m05c</t>
        </is>
      </c>
      <c r="B67" s="6" t="inlineStr">
        <is>
          <t>Cualquiera</t>
        </is>
      </c>
      <c r="C67" s="6" t="inlineStr">
        <is>
          <t>CLIENTE</t>
        </is>
      </c>
      <c r="D67" s="6" t="inlineStr">
        <is>
          <t>HOSPITALES</t>
        </is>
      </c>
      <c r="E67" s="6" t="inlineStr">
        <is>
          <t>Un cliente (9% de tus ventas) pide visitas semanales sin pagar más.</t>
        </is>
      </c>
      <c r="F67" s="6" t="inlineStr">
        <is>
          <t>Técnico junior</t>
        </is>
      </c>
      <c r="G67" s="6" t="inlineStr">
        <is>
          <t>Aceptas las visitas semanales con un técnico junior y reduces el gasto 40%.</t>
        </is>
      </c>
      <c r="H67" s="6" t="inlineStr">
        <is>
          <t>Direct Chg ↓</t>
        </is>
      </c>
      <c r="I67" s="6" t="inlineStr">
        <is>
          <t>Direct Chg</t>
        </is>
      </c>
      <c r="J67" s="6" t="inlineStr">
        <is>
          <t>Atajo</t>
        </is>
      </c>
      <c r="K67" s="6" t="inlineStr">
        <is>
          <t>Atajo: un técnico junior cuesta 40% menos, pero en un hospital un error de dosis pega fuerte después.</t>
        </is>
      </c>
      <c r="L67" s="4" t="n"/>
      <c r="M67" s="4" t="n"/>
      <c r="N67" s="4" t="n"/>
      <c r="O67" s="6" t="inlineStr">
        <is>
          <t>A client (9% of your sales) asks for weekly visits at no extra charge.</t>
        </is>
      </c>
      <c r="P67" s="6" t="inlineStr">
        <is>
          <t>Junior technician</t>
        </is>
      </c>
      <c r="Q67" s="6" t="inlineStr">
        <is>
          <t>You accept weekly visits with a junior technician and cut spending 40%.</t>
        </is>
      </c>
      <c r="R67" s="6" t="inlineStr">
        <is>
          <t>Direct Chg ↓</t>
        </is>
      </c>
      <c r="S67" s="6" t="inlineStr">
        <is>
          <t>Shortcut: a junior technician costs 40% less, but in a hospital a dosing error hits hard later.</t>
        </is>
      </c>
      <c r="T67" s="4" t="n"/>
    </row>
    <row r="68" ht="40.5" customHeight="1">
      <c r="A68" s="6" t="inlineStr">
        <is>
          <t>m05c</t>
        </is>
      </c>
      <c r="B68" s="6" t="inlineStr">
        <is>
          <t>Cualquiera</t>
        </is>
      </c>
      <c r="C68" s="6" t="inlineStr">
        <is>
          <t>CLIENTE</t>
        </is>
      </c>
      <c r="D68" s="6" t="inlineStr">
        <is>
          <t>HOSPITALES</t>
        </is>
      </c>
      <c r="E68" s="6" t="inlineStr">
        <is>
          <t>Un cliente (9% de tus ventas) pide visitas semanales sin pagar más.</t>
        </is>
      </c>
      <c r="F68" s="6" t="inlineStr">
        <is>
          <t>Visitas semanales</t>
        </is>
      </c>
      <c r="G68" s="6" t="inlineStr">
        <is>
          <t>Concedes 4 visitas por mes por cuenta tuya y absorbes el costo del servicio.</t>
        </is>
      </c>
      <c r="H68" s="6" t="inlineStr">
        <is>
          <t>Direct Chg ↑</t>
        </is>
      </c>
      <c r="I68" s="6" t="inlineStr">
        <is>
          <t>Direct Chg</t>
        </is>
      </c>
      <c r="J68" s="6" t="inlineStr">
        <is>
          <t>Ceder</t>
        </is>
      </c>
      <c r="K68" s="6" t="inlineStr">
        <is>
          <t>Cesión: 4 visitas por mes a tu cuenta: hospital contento, y los Direct Chg suben sin ingreso a cambio.</t>
        </is>
      </c>
      <c r="L68" s="4" t="n"/>
      <c r="M68" s="4" t="n"/>
      <c r="N68" s="4" t="n"/>
      <c r="O68" s="6" t="inlineStr">
        <is>
          <t>A client (9% of your sales) asks for weekly visits at no extra charge.</t>
        </is>
      </c>
      <c r="P68" s="6" t="inlineStr">
        <is>
          <t>Weekly visits</t>
        </is>
      </c>
      <c r="Q68" s="6" t="inlineStr">
        <is>
          <t>You grant 4 visits a month at your own cost and carry the service cost.</t>
        </is>
      </c>
      <c r="R68" s="6" t="inlineStr">
        <is>
          <t>Direct Chg ↑</t>
        </is>
      </c>
      <c r="S68" s="6" t="inlineStr">
        <is>
          <t>Concession: 4 visits a month at your cost: a happy hospital, but Direct Chg rise with no extra revenue.</t>
        </is>
      </c>
      <c r="T68" s="4" t="n"/>
    </row>
    <row r="69" ht="27" customHeight="1">
      <c r="A69" s="6" t="inlineStr">
        <is>
          <t>m05c</t>
        </is>
      </c>
      <c r="B69" s="6" t="inlineStr">
        <is>
          <t>Cualquiera</t>
        </is>
      </c>
      <c r="C69" s="6" t="inlineStr">
        <is>
          <t>CLIENTE</t>
        </is>
      </c>
      <c r="D69" s="6" t="inlineStr">
        <is>
          <t>HOSPITALES</t>
        </is>
      </c>
      <c r="E69" s="6" t="inlineStr">
        <is>
          <t>Un cliente (9% de tus ventas) pide visitas semanales sin pagar más.</t>
        </is>
      </c>
      <c r="F69" s="6" t="inlineStr">
        <is>
          <t>Pasar a Operaciones</t>
        </is>
      </c>
      <c r="G69" s="6" t="inlineStr">
        <is>
          <t>Pasas la solicitud a Operaciones y ofreces respuesta con fecha en 20 días.</t>
        </is>
      </c>
      <c r="H69" s="6" t="inlineStr">
        <is>
          <t>Ventas ↓</t>
        </is>
      </c>
      <c r="I69" s="6" t="inlineStr">
        <is>
          <t>Ventas</t>
        </is>
      </c>
      <c r="J69" s="6" t="inlineStr">
        <is>
          <t>Pasiva</t>
        </is>
      </c>
      <c r="K69" s="6" t="inlineStr">
        <is>
          <t>Pasividad: tardaste 20 días en responder y el hospital sintió que su servicio no importaba.</t>
        </is>
      </c>
      <c r="L69" s="4" t="n"/>
      <c r="M69" s="4" t="n"/>
      <c r="N69" s="4" t="n"/>
      <c r="O69" s="6" t="inlineStr">
        <is>
          <t>A client (9% of your sales) asks for weekly visits at no extra charge.</t>
        </is>
      </c>
      <c r="P69" s="6" t="inlineStr">
        <is>
          <t>Route to Ops</t>
        </is>
      </c>
      <c r="Q69" s="6" t="inlineStr">
        <is>
          <t>You pass the request to Operations and reply with a date in 20 days.</t>
        </is>
      </c>
      <c r="R69" s="6" t="inlineStr">
        <is>
          <t>Sales ↓</t>
        </is>
      </c>
      <c r="S69" s="6" t="inlineStr">
        <is>
          <t>Passivity: you took 20 days to answer and the hospital felt its service did not matter.</t>
        </is>
      </c>
      <c r="T69" s="4" t="n"/>
    </row>
    <row r="70" ht="40.5" customHeight="1">
      <c r="A70" s="6" t="inlineStr">
        <is>
          <t>m05p</t>
        </is>
      </c>
      <c r="B70" s="6" t="inlineStr">
        <is>
          <t>Cualquiera</t>
        </is>
      </c>
      <c r="C70" s="6" t="inlineStr">
        <is>
          <t>PLANTA</t>
        </is>
      </c>
      <c r="D70" s="6" t="inlineStr">
        <is>
          <t>ALIMENTOS</t>
        </is>
      </c>
      <c r="E70" s="6" t="inlineStr">
        <is>
          <t>Hay un incidente sin heridos en la planta y en 10 días llega una auditoría.</t>
        </is>
      </c>
      <c r="F70" s="6" t="inlineStr">
        <is>
          <t>Investigar causa</t>
        </is>
      </c>
      <c r="G70" s="6" t="inlineStr">
        <is>
          <t>Detienes la zona 2 días con el equipo y corriges el procedimiento.</t>
        </is>
      </c>
      <c r="H70" s="6" t="inlineStr">
        <is>
          <t>Costo ↓</t>
        </is>
      </c>
      <c r="I70" s="6" t="inlineStr">
        <is>
          <t>Costo</t>
        </is>
      </c>
      <c r="J70" s="6" t="inlineStr">
        <is>
          <t>Equilibrada</t>
        </is>
      </c>
      <c r="K70" s="6" t="inlineStr">
        <is>
          <t>Equilibrada: paraste la zona 2 días y corregiste el procedimiento; la auditoría te encuentra al día.</t>
        </is>
      </c>
      <c r="L70" s="4" t="n"/>
      <c r="M70" s="4" t="n"/>
      <c r="N70" s="4" t="n"/>
      <c r="O70" s="6" t="inlineStr">
        <is>
          <t>A no-injury incident hits the plant and an audit arrives in 10 days.</t>
        </is>
      </c>
      <c r="P70" s="6" t="inlineStr">
        <is>
          <t>Investigate cause</t>
        </is>
      </c>
      <c r="Q70" s="6" t="inlineStr">
        <is>
          <t>You stop the area 2 days with the team and correct the procedure.</t>
        </is>
      </c>
      <c r="R70" s="6" t="inlineStr">
        <is>
          <t>Cost ↓</t>
        </is>
      </c>
      <c r="S70" s="6" t="inlineStr">
        <is>
          <t>Balanced: you stopped the zone for 2 days and fixed the procedure; the audit finds you up to date.</t>
        </is>
      </c>
      <c r="T70" s="4" t="n"/>
    </row>
    <row r="71" ht="40.5" customHeight="1">
      <c r="A71" s="6" t="inlineStr">
        <is>
          <t>m05p</t>
        </is>
      </c>
      <c r="B71" s="6" t="inlineStr">
        <is>
          <t>Cualquiera</t>
        </is>
      </c>
      <c r="C71" s="6" t="inlineStr">
        <is>
          <t>PLANTA</t>
        </is>
      </c>
      <c r="D71" s="6" t="inlineStr">
        <is>
          <t>ALIMENTOS</t>
        </is>
      </c>
      <c r="E71" s="6" t="inlineStr">
        <is>
          <t>Hay un incidente sin heridos en la planta y en 10 días llega una auditoría.</t>
        </is>
      </c>
      <c r="F71" s="6" t="inlineStr">
        <is>
          <t>Cerrar el informe</t>
        </is>
      </c>
      <c r="G71" s="6" t="inlineStr">
        <is>
          <t>Cierras el informe como incidente menor, por los 7 días que costaría parar.</t>
        </is>
      </c>
      <c r="H71" s="6" t="inlineStr">
        <is>
          <t>Costo ↓ · SG&amp;A ↑ · LÍNEA ROJA</t>
        </is>
      </c>
      <c r="I71" s="6" t="inlineStr">
        <is>
          <t>Costo</t>
        </is>
      </c>
      <c r="J71" s="6" t="inlineStr">
        <is>
          <t>Atajo</t>
        </is>
      </c>
      <c r="K71" s="6" t="inlineStr">
        <is>
          <t>Línea roja: cerraste como menor un incidente real. Ocultarlo es grave: sanción y auditoría en contra.</t>
        </is>
      </c>
      <c r="L71" s="4" t="n"/>
      <c r="M71" s="4" t="n"/>
      <c r="N71" s="4" t="n"/>
      <c r="O71" s="6" t="inlineStr">
        <is>
          <t>A no-injury incident hits the plant and an audit arrives in 10 days.</t>
        </is>
      </c>
      <c r="P71" s="6" t="inlineStr">
        <is>
          <t>Close the file</t>
        </is>
      </c>
      <c r="Q71" s="6" t="inlineStr">
        <is>
          <t>You close the file as minor, given the 7 days a stoppage would cost.</t>
        </is>
      </c>
      <c r="R71" s="6" t="inlineStr">
        <is>
          <t>Cost ↓ · SG&amp;A ↑ · RED LINE</t>
        </is>
      </c>
      <c r="S71" s="6" t="inlineStr">
        <is>
          <t>Red line: you closed as minor a real incident. Hiding it is serious: a sanction and a hostile audit.</t>
        </is>
      </c>
      <c r="T71" s="4" t="n"/>
    </row>
    <row r="72" ht="40.5" customHeight="1">
      <c r="A72" s="6" t="inlineStr">
        <is>
          <t>m05p</t>
        </is>
      </c>
      <c r="B72" s="6" t="inlineStr">
        <is>
          <t>Cualquiera</t>
        </is>
      </c>
      <c r="C72" s="6" t="inlineStr">
        <is>
          <t>PLANTA</t>
        </is>
      </c>
      <c r="D72" s="6" t="inlineStr">
        <is>
          <t>ALIMENTOS</t>
        </is>
      </c>
      <c r="E72" s="6" t="inlineStr">
        <is>
          <t>Hay un incidente sin heridos en la planta y en 10 días llega una auditoría.</t>
        </is>
      </c>
      <c r="F72" s="6" t="inlineStr">
        <is>
          <t>Parar la planta</t>
        </is>
      </c>
      <c r="G72" s="6" t="inlineStr">
        <is>
          <t>Detienes la planta 7 días y rehaces los procedimientos de cero.</t>
        </is>
      </c>
      <c r="H72" s="6" t="inlineStr">
        <is>
          <t>Ventas ↓ · Costo ↑</t>
        </is>
      </c>
      <c r="I72" s="6" t="inlineStr">
        <is>
          <t>Costo</t>
        </is>
      </c>
      <c r="J72" s="6" t="inlineStr">
        <is>
          <t>Ceder</t>
        </is>
      </c>
      <c r="K72" s="6" t="inlineStr">
        <is>
          <t>Cesión: paraste 7 días y rehiciste todo: seguridad impecable, pero con pedidos atrasados y costo alto.</t>
        </is>
      </c>
      <c r="L72" s="4" t="n"/>
      <c r="M72" s="4" t="n"/>
      <c r="N72" s="4" t="n"/>
      <c r="O72" s="6" t="inlineStr">
        <is>
          <t>A no-injury incident hits the plant and an audit arrives in 10 days.</t>
        </is>
      </c>
      <c r="P72" s="6" t="inlineStr">
        <is>
          <t>Stop the plant</t>
        </is>
      </c>
      <c r="Q72" s="6" t="inlineStr">
        <is>
          <t>You stop the plant 7 days and redo the procedures from zero.</t>
        </is>
      </c>
      <c r="R72" s="6" t="inlineStr">
        <is>
          <t>Sales ↓ · Cost ↑</t>
        </is>
      </c>
      <c r="S72" s="6" t="inlineStr">
        <is>
          <t>Concession: you stopped 7 days and redid everything: flawless safety, but late orders and a high cost.</t>
        </is>
      </c>
      <c r="T72" s="4" t="n"/>
    </row>
    <row r="73" ht="40.5" customHeight="1">
      <c r="A73" s="6" t="inlineStr">
        <is>
          <t>m05p</t>
        </is>
      </c>
      <c r="B73" s="6" t="inlineStr">
        <is>
          <t>Cualquiera</t>
        </is>
      </c>
      <c r="C73" s="6" t="inlineStr">
        <is>
          <t>PLANTA</t>
        </is>
      </c>
      <c r="D73" s="6" t="inlineStr">
        <is>
          <t>ALIMENTOS</t>
        </is>
      </c>
      <c r="E73" s="6" t="inlineStr">
        <is>
          <t>Hay un incidente sin heridos en la planta y en 10 días llega una auditoría.</t>
        </is>
      </c>
      <c r="F73" s="6" t="inlineStr">
        <is>
          <t>Producir igual</t>
        </is>
      </c>
      <c r="G73" s="6" t="inlineStr">
        <is>
          <t>Continúas produciendo para cumplir 120 pedidos, pues nadie resultó herido.</t>
        </is>
      </c>
      <c r="H73" s="6" t="inlineStr">
        <is>
          <t>Costo ↑</t>
        </is>
      </c>
      <c r="I73" s="6" t="inlineStr">
        <is>
          <t>Costo</t>
        </is>
      </c>
      <c r="J73" s="6" t="inlineStr">
        <is>
          <t>Pasiva</t>
        </is>
      </c>
      <c r="K73" s="6" t="inlineStr">
        <is>
          <t>Pasividad: seguiste produciendo sin investigar: la auditoría encuentra el procedimiento roto.</t>
        </is>
      </c>
      <c r="L73" s="4" t="n"/>
      <c r="M73" s="4" t="n"/>
      <c r="N73" s="4" t="n"/>
      <c r="O73" s="6" t="inlineStr">
        <is>
          <t>A no-injury incident hits the plant and an audit arrives in 10 days.</t>
        </is>
      </c>
      <c r="P73" s="6" t="inlineStr">
        <is>
          <t>Keep working</t>
        </is>
      </c>
      <c r="Q73" s="6" t="inlineStr">
        <is>
          <t>You keep producing to fill 120 orders, since nobody was hurt.</t>
        </is>
      </c>
      <c r="R73" s="6" t="inlineStr">
        <is>
          <t>Cost ↑</t>
        </is>
      </c>
      <c r="S73" s="6" t="inlineStr">
        <is>
          <t>Passivity: you kept producing without investigating: the audit finds the broken procedure.</t>
        </is>
      </c>
      <c r="T73" s="4" t="n"/>
    </row>
    <row r="74" ht="27" customHeight="1">
      <c r="A74" s="6" t="inlineStr">
        <is>
          <t>m05e</t>
        </is>
      </c>
      <c r="B74" s="6" t="inlineStr">
        <is>
          <t>Cualquiera</t>
        </is>
      </c>
      <c r="C74" s="6" t="inlineStr">
        <is>
          <t>ENTORNO</t>
        </is>
      </c>
      <c r="D74" s="6" t="inlineStr">
        <is>
          <t>HOTELES</t>
        </is>
      </c>
      <c r="E74" s="6" t="inlineStr">
        <is>
          <t>El turismo cae 15% y los hoteles congelan las compras no esenciales.</t>
        </is>
      </c>
      <c r="F74" s="6" t="inlineStr">
        <is>
          <t>Rebate por volumen</t>
        </is>
      </c>
      <c r="G74" s="6" t="inlineStr">
        <is>
          <t>Pactas un rebate de 1% por los volúmenes sobre su compra mínima.</t>
        </is>
      </c>
      <c r="H74" s="6" t="inlineStr">
        <is>
          <t>Ventas ↑ · Incentivos ↑</t>
        </is>
      </c>
      <c r="I74" s="6" t="inlineStr">
        <is>
          <t>Ventas</t>
        </is>
      </c>
      <c r="J74" s="6" t="inlineStr">
        <is>
          <t>Equilibrada</t>
        </is>
      </c>
      <c r="K74" s="6" t="inlineStr">
        <is>
          <t>Equilibrada: el rebate solo premia el volumen sobre su mínimo: cuesta poco y mantiene los pedidos.</t>
        </is>
      </c>
      <c r="L74" s="4" t="n"/>
      <c r="M74" s="4" t="n"/>
      <c r="N74" s="4" t="n"/>
      <c r="O74" s="6" t="inlineStr">
        <is>
          <t>Tourism drops 15% and hotels freeze non-essential purchases.</t>
        </is>
      </c>
      <c r="P74" s="6" t="inlineStr">
        <is>
          <t>Volume rebate</t>
        </is>
      </c>
      <c r="Q74" s="6" t="inlineStr">
        <is>
          <t>You set a 1% rebate on the volumes above their minimum purchase.</t>
        </is>
      </c>
      <c r="R74" s="6" t="inlineStr">
        <is>
          <t>Sales ↑ · Incentives ↑</t>
        </is>
      </c>
      <c r="S74" s="6" t="inlineStr">
        <is>
          <t>Balanced: the rebate only rewards volume above their minimum: it costs little and keeps the orders.</t>
        </is>
      </c>
      <c r="T74" s="4" t="n"/>
    </row>
    <row r="75" ht="40.5" customHeight="1">
      <c r="A75" s="6" t="inlineStr">
        <is>
          <t>m05e</t>
        </is>
      </c>
      <c r="B75" s="6" t="inlineStr">
        <is>
          <t>Cualquiera</t>
        </is>
      </c>
      <c r="C75" s="6" t="inlineStr">
        <is>
          <t>ENTORNO</t>
        </is>
      </c>
      <c r="D75" s="6" t="inlineStr">
        <is>
          <t>HOTELES</t>
        </is>
      </c>
      <c r="E75" s="6" t="inlineStr">
        <is>
          <t>El turismo cae 15% y los hoteles congelan las compras no esenciales.</t>
        </is>
      </c>
      <c r="F75" s="6" t="inlineStr">
        <is>
          <t>Cobro a activos</t>
        </is>
      </c>
      <c r="G75" s="6" t="inlineStr">
        <is>
          <t>Cobras 4% más a quienes siguen comprando y recortas su rebate.</t>
        </is>
      </c>
      <c r="H75" s="6" t="inlineStr">
        <is>
          <t>Ventas ↑ · Incentivos ↓</t>
        </is>
      </c>
      <c r="I75" s="6" t="inlineStr">
        <is>
          <t>Incentivos</t>
        </is>
      </c>
      <c r="J75" s="6" t="inlineStr">
        <is>
          <t>Atajo</t>
        </is>
      </c>
      <c r="K75" s="6" t="inlineStr">
        <is>
          <t>Atajo: cobraste más a quien sigue comprando y recortaste su rebate; hoy sube el OI, mañana lo recuerdan.</t>
        </is>
      </c>
      <c r="L75" s="4" t="n"/>
      <c r="M75" s="4" t="n"/>
      <c r="N75" s="4" t="n"/>
      <c r="O75" s="6" t="inlineStr">
        <is>
          <t>Tourism drops 15% and hotels freeze non-essential purchases.</t>
        </is>
      </c>
      <c r="P75" s="6" t="inlineStr">
        <is>
          <t>Charge active ones</t>
        </is>
      </c>
      <c r="Q75" s="6" t="inlineStr">
        <is>
          <t>You raise the price 4% for clients still buying and trim their rebate.</t>
        </is>
      </c>
      <c r="R75" s="6" t="inlineStr">
        <is>
          <t>Sales ↑ · Incentives ↓</t>
        </is>
      </c>
      <c r="S75" s="6" t="inlineStr">
        <is>
          <t>Shortcut: you charged active buyers more and trimmed their rebate: OI rises now, they remember later.</t>
        </is>
      </c>
      <c r="T75" s="4" t="n"/>
    </row>
    <row r="76" ht="27" customHeight="1">
      <c r="A76" s="6" t="inlineStr">
        <is>
          <t>m05e</t>
        </is>
      </c>
      <c r="B76" s="6" t="inlineStr">
        <is>
          <t>Cualquiera</t>
        </is>
      </c>
      <c r="C76" s="6" t="inlineStr">
        <is>
          <t>ENTORNO</t>
        </is>
      </c>
      <c r="D76" s="6" t="inlineStr">
        <is>
          <t>HOTELES</t>
        </is>
      </c>
      <c r="E76" s="6" t="inlineStr">
        <is>
          <t>El turismo cae 15% y los hoteles congelan las compras no esenciales.</t>
        </is>
      </c>
      <c r="F76" s="6" t="inlineStr">
        <is>
          <t>Rebate general</t>
        </is>
      </c>
      <c r="G76" s="6" t="inlineStr">
        <is>
          <t>Otorgas 3% de rebate a los hoteles para que no frenen más compras.</t>
        </is>
      </c>
      <c r="H76" s="6" t="inlineStr">
        <is>
          <t>Incentivos ↑</t>
        </is>
      </c>
      <c r="I76" s="6" t="inlineStr">
        <is>
          <t>Incentivos</t>
        </is>
      </c>
      <c r="J76" s="6" t="inlineStr">
        <is>
          <t>Ceder</t>
        </is>
      </c>
      <c r="K76" s="6" t="inlineStr">
        <is>
          <t>Cesión: 3% de rebate a todos: no frenan compras, pero regalas margen también a quien compraba igual.</t>
        </is>
      </c>
      <c r="L76" s="4" t="n"/>
      <c r="M76" s="4" t="n"/>
      <c r="N76" s="4" t="n"/>
      <c r="O76" s="6" t="inlineStr">
        <is>
          <t>Tourism drops 15% and hotels freeze non-essential purchases.</t>
        </is>
      </c>
      <c r="P76" s="6" t="inlineStr">
        <is>
          <t>General rebate</t>
        </is>
      </c>
      <c r="Q76" s="6" t="inlineStr">
        <is>
          <t>You give a 3% rebate to hotel clients so they stop cutting purchases.</t>
        </is>
      </c>
      <c r="R76" s="6" t="inlineStr">
        <is>
          <t>Incentives ↑</t>
        </is>
      </c>
      <c r="S76" s="6" t="inlineStr">
        <is>
          <t>Concession: 3% rebate for all: purchases hold, but you give margin to those who would buy anyway.</t>
        </is>
      </c>
      <c r="T76" s="4" t="n"/>
    </row>
    <row r="77" ht="27" customHeight="1">
      <c r="A77" s="6" t="inlineStr">
        <is>
          <t>m05e</t>
        </is>
      </c>
      <c r="B77" s="6" t="inlineStr">
        <is>
          <t>Cualquiera</t>
        </is>
      </c>
      <c r="C77" s="6" t="inlineStr">
        <is>
          <t>ENTORNO</t>
        </is>
      </c>
      <c r="D77" s="6" t="inlineStr">
        <is>
          <t>HOTELES</t>
        </is>
      </c>
      <c r="E77" s="6" t="inlineStr">
        <is>
          <t>El turismo cae 15% y los hoteles congelan las compras no esenciales.</t>
        </is>
      </c>
      <c r="F77" s="6" t="inlineStr">
        <is>
          <t>Mirar el ciclo</t>
        </is>
      </c>
      <c r="G77" s="6" t="inlineStr">
        <is>
          <t>Conservas precios y el rebate actual a la espera de un rebote del turismo.</t>
        </is>
      </c>
      <c r="H77" s="6" t="inlineStr">
        <is>
          <t>Ventas ↓</t>
        </is>
      </c>
      <c r="I77" s="6" t="inlineStr">
        <is>
          <t>Ventas</t>
        </is>
      </c>
      <c r="J77" s="6" t="inlineStr">
        <is>
          <t>Pasiva</t>
        </is>
      </c>
      <c r="K77" s="6" t="inlineStr">
        <is>
          <t>Pasividad: esperaste el rebote del turismo mientras los hoteles seguían recortando pedidos.</t>
        </is>
      </c>
      <c r="L77" s="4" t="n"/>
      <c r="M77" s="4" t="n"/>
      <c r="N77" s="4" t="n"/>
      <c r="O77" s="6" t="inlineStr">
        <is>
          <t>Tourism drops 15% and hotels freeze non-essential purchases.</t>
        </is>
      </c>
      <c r="P77" s="6" t="inlineStr">
        <is>
          <t>Watch the cycle</t>
        </is>
      </c>
      <c r="Q77" s="6" t="inlineStr">
        <is>
          <t>You keep prices and the usual rebate while waiting for tourism to rebound.</t>
        </is>
      </c>
      <c r="R77" s="6" t="inlineStr">
        <is>
          <t>Sales ↓</t>
        </is>
      </c>
      <c r="S77" s="6" t="inlineStr">
        <is>
          <t>Passivity: you waited for tourism to rebound while hotels kept cutting orders.</t>
        </is>
      </c>
      <c r="T77" s="4" t="n"/>
    </row>
    <row r="78" ht="40.5" customHeight="1">
      <c r="A78" s="6" t="inlineStr">
        <is>
          <t>m05s</t>
        </is>
      </c>
      <c r="B78" s="6" t="inlineStr">
        <is>
          <t>Cualquiera</t>
        </is>
      </c>
      <c r="C78" s="6" t="inlineStr">
        <is>
          <t>ESTRATEGIA</t>
        </is>
      </c>
      <c r="D78" s="6" t="inlineStr">
        <is>
          <t>INDUSTRIA</t>
        </is>
      </c>
      <c r="E78" s="6" t="inlineStr">
        <is>
          <t>Puedes invertir en monitoreo remoto para 6 plantas con visitas mensuales.</t>
        </is>
      </c>
      <c r="F78" s="6" t="inlineStr">
        <is>
          <t>Invertir por etapas</t>
        </is>
      </c>
      <c r="G78" s="6" t="inlineStr">
        <is>
          <t>Instalas en 2 plantas mayores y calculas el ahorro en visitas por 6 meses.</t>
        </is>
      </c>
      <c r="H78" s="6" t="inlineStr">
        <is>
          <t>Direct Chg ↓ · SG&amp;A ↑</t>
        </is>
      </c>
      <c r="I78" s="6" t="inlineStr">
        <is>
          <t>Direct Chg</t>
        </is>
      </c>
      <c r="J78" s="6" t="inlineStr">
        <is>
          <t>Equilibrada</t>
        </is>
      </c>
      <c r="K78" s="6" t="inlineStr">
        <is>
          <t>Equilibrada: instalaste en 2 plantas y mides el ahorro en visitas antes de comprometer las otras 4.</t>
        </is>
      </c>
      <c r="L78" s="4" t="n"/>
      <c r="M78" s="4" t="n"/>
      <c r="N78" s="4" t="n"/>
      <c r="O78" s="6" t="inlineStr">
        <is>
          <t>You can invest in remote monitoring for 6 plants with monthly visits.</t>
        </is>
      </c>
      <c r="P78" s="6" t="inlineStr">
        <is>
          <t>Invest in stages</t>
        </is>
      </c>
      <c r="Q78" s="6" t="inlineStr">
        <is>
          <t>You install at the 2 biggest plants and track visit savings for 6 months.</t>
        </is>
      </c>
      <c r="R78" s="6" t="inlineStr">
        <is>
          <t>Direct Chg ↓ · SG&amp;A ↑</t>
        </is>
      </c>
      <c r="S78" s="6" t="inlineStr">
        <is>
          <t>Balanced: you installed at 2 plants and measure the visit savings before committing the other 4.</t>
        </is>
      </c>
      <c r="T78" s="4" t="n"/>
    </row>
    <row r="79" ht="40.5" customHeight="1">
      <c r="A79" s="6" t="inlineStr">
        <is>
          <t>m05s</t>
        </is>
      </c>
      <c r="B79" s="6" t="inlineStr">
        <is>
          <t>Cualquiera</t>
        </is>
      </c>
      <c r="C79" s="6" t="inlineStr">
        <is>
          <t>ESTRATEGIA</t>
        </is>
      </c>
      <c r="D79" s="6" t="inlineStr">
        <is>
          <t>INDUSTRIA</t>
        </is>
      </c>
      <c r="E79" s="6" t="inlineStr">
        <is>
          <t>Puedes invertir en monitoreo remoto para 6 plantas con visitas mensuales.</t>
        </is>
      </c>
      <c r="F79" s="6" t="inlineStr">
        <is>
          <t>Cancelar el plan</t>
        </is>
      </c>
      <c r="G79" s="6" t="inlineStr">
        <is>
          <t>Cancelas la inversión para mejorar el margen del año y recortas visitas.</t>
        </is>
      </c>
      <c r="H79" s="6" t="inlineStr">
        <is>
          <t>Direct Chg ↓ · SG&amp;A ↓</t>
        </is>
      </c>
      <c r="I79" s="6" t="inlineStr">
        <is>
          <t>SG&amp;A</t>
        </is>
      </c>
      <c r="J79" s="6" t="inlineStr">
        <is>
          <t>Atajo</t>
        </is>
      </c>
      <c r="K79" s="6" t="inlineStr">
        <is>
          <t>Atajo: cancelaste la inversión y recortaste visitas: el margen mejora hoy, pero el servicio se resiente.</t>
        </is>
      </c>
      <c r="L79" s="4" t="n"/>
      <c r="M79" s="4" t="n"/>
      <c r="N79" s="4" t="n"/>
      <c r="O79" s="6" t="inlineStr">
        <is>
          <t>You can invest in remote monitoring for 6 plants with monthly visits.</t>
        </is>
      </c>
      <c r="P79" s="6" t="inlineStr">
        <is>
          <t>Cancel the plan</t>
        </is>
      </c>
      <c r="Q79" s="6" t="inlineStr">
        <is>
          <t>You cancel the investment to lift this year's margin and trim visits.</t>
        </is>
      </c>
      <c r="R79" s="6" t="inlineStr">
        <is>
          <t>Direct Chg ↓ · SG&amp;A ↓</t>
        </is>
      </c>
      <c r="S79" s="6" t="inlineStr">
        <is>
          <t>Shortcut: you canceled the investment and cut visits: margin improves today, but service suffers.</t>
        </is>
      </c>
      <c r="T79" s="4" t="n"/>
    </row>
    <row r="80" ht="40.5" customHeight="1">
      <c r="A80" s="6" t="inlineStr">
        <is>
          <t>m05s</t>
        </is>
      </c>
      <c r="B80" s="6" t="inlineStr">
        <is>
          <t>Cualquiera</t>
        </is>
      </c>
      <c r="C80" s="6" t="inlineStr">
        <is>
          <t>ESTRATEGIA</t>
        </is>
      </c>
      <c r="D80" s="6" t="inlineStr">
        <is>
          <t>INDUSTRIA</t>
        </is>
      </c>
      <c r="E80" s="6" t="inlineStr">
        <is>
          <t>Puedes invertir en monitoreo remoto para 6 plantas con visitas mensuales.</t>
        </is>
      </c>
      <c r="F80" s="6" t="inlineStr">
        <is>
          <t>Instalar en las 6</t>
        </is>
      </c>
      <c r="G80" s="6" t="inlineStr">
        <is>
          <t>Instalas el sistema en las 6 plantas con un presupuesto de 0,8.</t>
        </is>
      </c>
      <c r="H80" s="6" t="inlineStr">
        <is>
          <t>SG&amp;A ↑</t>
        </is>
      </c>
      <c r="I80" s="6" t="inlineStr">
        <is>
          <t>SG&amp;A</t>
        </is>
      </c>
      <c r="J80" s="6" t="inlineStr">
        <is>
          <t>Ceder</t>
        </is>
      </c>
      <c r="K80" s="6" t="inlineStr">
        <is>
          <t>Cesión: instalaste en las 6 sin probar; el costo pesa ahora y el ahorro es incierto.</t>
        </is>
      </c>
      <c r="L80" s="4" t="n"/>
      <c r="M80" s="4" t="n"/>
      <c r="N80" s="4" t="n"/>
      <c r="O80" s="6" t="inlineStr">
        <is>
          <t>You can invest in remote monitoring for 6 plants with monthly visits.</t>
        </is>
      </c>
      <c r="P80" s="6" t="inlineStr">
        <is>
          <t>Install at all 6</t>
        </is>
      </c>
      <c r="Q80" s="6" t="inlineStr">
        <is>
          <t>You install the system at all 6 plants with a budget of 0.8.</t>
        </is>
      </c>
      <c r="R80" s="6" t="inlineStr">
        <is>
          <t>SG&amp;A ↑</t>
        </is>
      </c>
      <c r="S80" s="6" t="inlineStr">
        <is>
          <t>Concession: you installed at all 6 untested; cost weighs now and the savings are uncertain.</t>
        </is>
      </c>
      <c r="T80" s="4" t="n"/>
    </row>
    <row r="81" ht="40.5" customHeight="1">
      <c r="A81" s="6" t="inlineStr">
        <is>
          <t>m05s</t>
        </is>
      </c>
      <c r="B81" s="6" t="inlineStr">
        <is>
          <t>Cualquiera</t>
        </is>
      </c>
      <c r="C81" s="6" t="inlineStr">
        <is>
          <t>ESTRATEGIA</t>
        </is>
      </c>
      <c r="D81" s="6" t="inlineStr">
        <is>
          <t>INDUSTRIA</t>
        </is>
      </c>
      <c r="E81" s="6" t="inlineStr">
        <is>
          <t>Puedes invertir en monitoreo remoto para 6 plantas con visitas mensuales.</t>
        </is>
      </c>
      <c r="F81" s="6" t="inlineStr">
        <is>
          <t>Decidir después</t>
        </is>
      </c>
      <c r="G81" s="6" t="inlineStr">
        <is>
          <t>Evalúas el ahorro otros 3 meses mientras las visitas cuestan igual.</t>
        </is>
      </c>
      <c r="H81" s="6" t="inlineStr">
        <is>
          <t>Direct Chg ↑</t>
        </is>
      </c>
      <c r="I81" s="6" t="inlineStr">
        <is>
          <t>Direct Chg</t>
        </is>
      </c>
      <c r="J81" s="6" t="inlineStr">
        <is>
          <t>Pasiva</t>
        </is>
      </c>
      <c r="K81" s="6" t="inlineStr">
        <is>
          <t>Pasividad: evaluaste 3 meses más y las visitas siguieron costando lo mismo; el ahorro se pospuso.</t>
        </is>
      </c>
      <c r="L81" s="4" t="n"/>
      <c r="M81" s="4" t="n"/>
      <c r="N81" s="4" t="n"/>
      <c r="O81" s="6" t="inlineStr">
        <is>
          <t>You can invest in remote monitoring for 6 plants with monthly visits.</t>
        </is>
      </c>
      <c r="P81" s="6" t="inlineStr">
        <is>
          <t>Decide later</t>
        </is>
      </c>
      <c r="Q81" s="6" t="inlineStr">
        <is>
          <t>You keep weighing the savings 3 more months while visits cost the same.</t>
        </is>
      </c>
      <c r="R81" s="6" t="inlineStr">
        <is>
          <t>Direct Chg ↑</t>
        </is>
      </c>
      <c r="S81" s="6" t="inlineStr">
        <is>
          <t>Passivity: you weighed 3 more months and visits kept costing the same; the savings were postponed.</t>
        </is>
      </c>
      <c r="T81" s="4" t="n"/>
    </row>
    <row r="82" ht="40.5" customHeight="1">
      <c r="A82" s="6" t="inlineStr">
        <is>
          <t>m06c</t>
        </is>
      </c>
      <c r="B82" s="6" t="inlineStr">
        <is>
          <t>Cualquiera</t>
        </is>
      </c>
      <c r="C82" s="6" t="inlineStr">
        <is>
          <t>CLIENTE</t>
        </is>
      </c>
      <c r="D82" s="6" t="inlineStr">
        <is>
          <t>HOTELES</t>
        </is>
      </c>
      <c r="E82" s="6" t="inlineStr">
        <is>
          <t>Un competidor ofrece 8% menos y amenaza un contrato de 14% de ventas.</t>
        </is>
      </c>
      <c r="F82" s="6" t="inlineStr">
        <is>
          <t>Mostrar el ahorro</t>
        </is>
      </c>
      <c r="G82" s="6" t="inlineStr">
        <is>
          <t>Presentas el ahorro medido y sostienes el precio con un rebate a 2 años.</t>
        </is>
      </c>
      <c r="H82" s="6" t="inlineStr">
        <is>
          <t>volumen +0,8%, precio -0,1%</t>
        </is>
      </c>
      <c r="I82" s="6" t="inlineStr">
        <is>
          <t>Incentivos</t>
        </is>
      </c>
      <c r="J82" s="6" t="inlineStr">
        <is>
          <t>Equilibrada</t>
        </is>
      </c>
      <c r="K82" s="6" t="inlineStr">
        <is>
          <t>Equilibrada: mostraste el ahorro medido y defendiste el precio con un rebate a 2 años; el hotel se queda.</t>
        </is>
      </c>
      <c r="L82" s="4" t="n"/>
      <c r="M82" s="4" t="n"/>
      <c r="N82" s="4" t="n"/>
      <c r="O82" s="6" t="inlineStr">
        <is>
          <t>A competitor offers 8% less and threatens a contract worth 14% of sales.</t>
        </is>
      </c>
      <c r="P82" s="6" t="inlineStr">
        <is>
          <t>Show the savings</t>
        </is>
      </c>
      <c r="Q82" s="6" t="inlineStr">
        <is>
          <t>You present the measured savings and hold the price with a 2-year rebate.</t>
        </is>
      </c>
      <c r="R82" s="6" t="inlineStr">
        <is>
          <t>volume +0.8%, price -0.1%</t>
        </is>
      </c>
      <c r="S82" s="6" t="inlineStr">
        <is>
          <t>Balanced: you showed the measured savings and defended price with a 2-year rebate; the hotel stays.</t>
        </is>
      </c>
      <c r="T82" s="4" t="n"/>
    </row>
    <row r="83" ht="27" customHeight="1">
      <c r="A83" s="6" t="inlineStr">
        <is>
          <t>m06c</t>
        </is>
      </c>
      <c r="B83" s="6" t="inlineStr">
        <is>
          <t>Cualquiera</t>
        </is>
      </c>
      <c r="C83" s="6" t="inlineStr">
        <is>
          <t>CLIENTE</t>
        </is>
      </c>
      <c r="D83" s="6" t="inlineStr">
        <is>
          <t>HOTELES</t>
        </is>
      </c>
      <c r="E83" s="6" t="inlineStr">
        <is>
          <t>Un competidor ofrece 8% menos y amenaza un contrato de 14% de ventas.</t>
        </is>
      </c>
      <c r="F83" s="6" t="inlineStr">
        <is>
          <t>Amarrar al cliente</t>
        </is>
      </c>
      <c r="G83" s="6" t="inlineStr">
        <is>
          <t>Firmas 3 años con multas de salida de 20% y mantienes tu precio de lista.</t>
        </is>
      </c>
      <c r="H83" s="6" t="inlineStr">
        <is>
          <t>precio +0,5%</t>
        </is>
      </c>
      <c r="I83" s="6" t="inlineStr">
        <is>
          <t>Ventas</t>
        </is>
      </c>
      <c r="J83" s="6" t="inlineStr">
        <is>
          <t>Atajo</t>
        </is>
      </c>
      <c r="K83" s="6" t="inlineStr">
        <is>
          <t>Atajo: el contrato de 3 años con multas de salida retiene al cliente hoy, pero resentido y atado.</t>
        </is>
      </c>
      <c r="L83" s="4" t="n"/>
      <c r="M83" s="4" t="n"/>
      <c r="N83" s="4" t="n"/>
      <c r="O83" s="6" t="inlineStr">
        <is>
          <t>A competitor offers 8% less and threatens a contract worth 14% of sales.</t>
        </is>
      </c>
      <c r="P83" s="6" t="inlineStr">
        <is>
          <t>Lock in the client</t>
        </is>
      </c>
      <c r="Q83" s="6" t="inlineStr">
        <is>
          <t>You sign 3 years with 20% exit penalties and keep your list price.</t>
        </is>
      </c>
      <c r="R83" s="6" t="inlineStr">
        <is>
          <t>price +0.5%</t>
        </is>
      </c>
      <c r="S83" s="6" t="inlineStr">
        <is>
          <t>Shortcut: the 3-year contract with exit fines holds the client now, but resentful and tied down.</t>
        </is>
      </c>
      <c r="T83" s="4" t="n"/>
    </row>
    <row r="84" ht="27" customHeight="1">
      <c r="A84" s="6" t="inlineStr">
        <is>
          <t>m06c</t>
        </is>
      </c>
      <c r="B84" s="6" t="inlineStr">
        <is>
          <t>Cualquiera</t>
        </is>
      </c>
      <c r="C84" s="6" t="inlineStr">
        <is>
          <t>CLIENTE</t>
        </is>
      </c>
      <c r="D84" s="6" t="inlineStr">
        <is>
          <t>HOTELES</t>
        </is>
      </c>
      <c r="E84" s="6" t="inlineStr">
        <is>
          <t>Un competidor ofrece 8% menos y amenaza un contrato de 14% de ventas.</t>
        </is>
      </c>
      <c r="F84" s="6" t="inlineStr">
        <is>
          <t>Igualar el precio</t>
        </is>
      </c>
      <c r="G84" s="6" t="inlineStr">
        <is>
          <t>Bajas 8% el precio por la duración del contrato y conservas el resto.</t>
        </is>
      </c>
      <c r="H84" s="6" t="inlineStr">
        <is>
          <t>precio -0,7%</t>
        </is>
      </c>
      <c r="I84" s="6" t="inlineStr">
        <is>
          <t>Ventas</t>
        </is>
      </c>
      <c r="J84" s="6" t="inlineStr">
        <is>
          <t>Ceder</t>
        </is>
      </c>
      <c r="K84" s="6" t="inlineStr">
        <is>
          <t>Cesión: igualaste el 8% menos todo el contrato: conservas al hotel y el margen cae cada mes.</t>
        </is>
      </c>
      <c r="L84" s="4" t="n"/>
      <c r="M84" s="4" t="n"/>
      <c r="N84" s="4" t="n"/>
      <c r="O84" s="6" t="inlineStr">
        <is>
          <t>A competitor offers 8% less and threatens a contract worth 14% of sales.</t>
        </is>
      </c>
      <c r="P84" s="6" t="inlineStr">
        <is>
          <t>Match the price</t>
        </is>
      </c>
      <c r="Q84" s="6" t="inlineStr">
        <is>
          <t>You cut the price 8% for the length of the contract and keep the rest.</t>
        </is>
      </c>
      <c r="R84" s="6" t="inlineStr">
        <is>
          <t>price -0.7%</t>
        </is>
      </c>
      <c r="S84" s="6" t="inlineStr">
        <is>
          <t>Concession: you matched the 8% for the contract: you keep the hotel, and margin drops every month.</t>
        </is>
      </c>
      <c r="T84" s="4" t="n"/>
    </row>
    <row r="85" ht="27" customHeight="1">
      <c r="A85" s="6" t="inlineStr">
        <is>
          <t>m06c</t>
        </is>
      </c>
      <c r="B85" s="6" t="inlineStr">
        <is>
          <t>Cualquiera</t>
        </is>
      </c>
      <c r="C85" s="6" t="inlineStr">
        <is>
          <t>CLIENTE</t>
        </is>
      </c>
      <c r="D85" s="6" t="inlineStr">
        <is>
          <t>HOTELES</t>
        </is>
      </c>
      <c r="E85" s="6" t="inlineStr">
        <is>
          <t>Un competidor ofrece 8% menos y amenaza un contrato de 14% de ventas.</t>
        </is>
      </c>
      <c r="F85" s="6" t="inlineStr">
        <is>
          <t>Confiar en el lazo</t>
        </is>
      </c>
      <c r="G85" s="6" t="inlineStr">
        <is>
          <t>Cuidas la relación con los clientes y das por seguro su lealtad por 3 años.</t>
        </is>
      </c>
      <c r="H85" s="6" t="inlineStr">
        <is>
          <t>volumen -3,3%</t>
        </is>
      </c>
      <c r="I85" s="6" t="inlineStr">
        <is>
          <t>Ventas</t>
        </is>
      </c>
      <c r="J85" s="6" t="inlineStr">
        <is>
          <t>Pasiva</t>
        </is>
      </c>
      <c r="K85" s="6" t="inlineStr">
        <is>
          <t>Pasividad: diste por segura su lealtad y el hotel movió parte del contrato al competidor.</t>
        </is>
      </c>
      <c r="L85" s="4" t="n"/>
      <c r="M85" s="4" t="n"/>
      <c r="N85" s="4" t="n"/>
      <c r="O85" s="6" t="inlineStr">
        <is>
          <t>A competitor offers 8% less and threatens a contract worth 14% of sales.</t>
        </is>
      </c>
      <c r="P85" s="6" t="inlineStr">
        <is>
          <t>Trust the bond</t>
        </is>
      </c>
      <c r="Q85" s="6" t="inlineStr">
        <is>
          <t>You nurture the relationship and take a loyal bond for granted for 3 years.</t>
        </is>
      </c>
      <c r="R85" s="6" t="inlineStr">
        <is>
          <t>volume -3.3%</t>
        </is>
      </c>
      <c r="S85" s="6" t="inlineStr">
        <is>
          <t>Passivity: you took its loyalty for granted and the hotel moved part of the contract away.</t>
        </is>
      </c>
      <c r="T85" s="4" t="n"/>
    </row>
    <row r="86" ht="40.5" customHeight="1">
      <c r="A86" s="6" t="inlineStr">
        <is>
          <t>m06p</t>
        </is>
      </c>
      <c r="B86" s="6" t="inlineStr">
        <is>
          <t>Cualquiera</t>
        </is>
      </c>
      <c r="C86" s="6" t="inlineStr">
        <is>
          <t>PLANTA</t>
        </is>
      </c>
      <c r="D86" s="6" t="inlineStr">
        <is>
          <t>HOSPITALES</t>
        </is>
      </c>
      <c r="E86" s="6" t="inlineStr">
        <is>
          <t>Esta semana 4 lotes de 10 salen al límite de la especificación.</t>
        </is>
      </c>
      <c r="F86" s="6" t="inlineStr">
        <is>
          <t>Ajustar el proceso</t>
        </is>
      </c>
      <c r="G86" s="6" t="inlineStr">
        <is>
          <t>Ajustas el proceso con calidad y refuerzas los controles del lote.</t>
        </is>
      </c>
      <c r="H86" s="6" t="inlineStr">
        <is>
          <t>Costo ↓ · Direct Chg ↑</t>
        </is>
      </c>
      <c r="I86" s="6" t="inlineStr">
        <is>
          <t>Costo</t>
        </is>
      </c>
      <c r="J86" s="6" t="inlineStr">
        <is>
          <t>Equilibrada</t>
        </is>
      </c>
      <c r="K86" s="6" t="inlineStr">
        <is>
          <t>Equilibrada: ajustaste el proceso y reforzaste controles: lotes en rango y certificados reales.</t>
        </is>
      </c>
      <c r="L86" s="4" t="n"/>
      <c r="M86" s="4" t="n"/>
      <c r="N86" s="4" t="n"/>
      <c r="O86" s="6" t="inlineStr">
        <is>
          <t>This week 4 batches out of 10 come out at the edge of spec.</t>
        </is>
      </c>
      <c r="P86" s="6" t="inlineStr">
        <is>
          <t>Tune the process</t>
        </is>
      </c>
      <c r="Q86" s="6" t="inlineStr">
        <is>
          <t>You adjust the process alongside quality and reinforce the batch controls.</t>
        </is>
      </c>
      <c r="R86" s="6" t="inlineStr">
        <is>
          <t>Cost ↓ · Direct Chg ↑</t>
        </is>
      </c>
      <c r="S86" s="6" t="inlineStr">
        <is>
          <t>Balanced: you adjusted the process and reinforced controls: batches back in range with real certificates.</t>
        </is>
      </c>
      <c r="T86" s="4" t="n"/>
    </row>
    <row r="87" ht="40.5" customHeight="1">
      <c r="A87" s="6" t="inlineStr">
        <is>
          <t>m06p</t>
        </is>
      </c>
      <c r="B87" s="6" t="inlineStr">
        <is>
          <t>Cualquiera</t>
        </is>
      </c>
      <c r="C87" s="6" t="inlineStr">
        <is>
          <t>PLANTA</t>
        </is>
      </c>
      <c r="D87" s="6" t="inlineStr">
        <is>
          <t>HOSPITALES</t>
        </is>
      </c>
      <c r="E87" s="6" t="inlineStr">
        <is>
          <t>Esta semana 4 lotes de 10 salen al límite de la especificación.</t>
        </is>
      </c>
      <c r="F87" s="6" t="inlineStr">
        <is>
          <t>Mezclar lotes</t>
        </is>
      </c>
      <c r="G87" s="6" t="inlineStr">
        <is>
          <t>Mezclas lotes dudosos por partes con lotes buenos para que el promedio pase.</t>
        </is>
      </c>
      <c r="H87" s="6" t="inlineStr">
        <is>
          <t>Costo ↓ · SG&amp;A ↑ · LÍNEA ROJA</t>
        </is>
      </c>
      <c r="I87" s="6" t="inlineStr">
        <is>
          <t>Costo</t>
        </is>
      </c>
      <c r="J87" s="6" t="inlineStr">
        <is>
          <t>Atajo</t>
        </is>
      </c>
      <c r="K87" s="6" t="inlineStr">
        <is>
          <t>Línea roja: mezclaste lotes dudosos con buenos para que pasen. Es fraude de calidad: retiro y sanción.</t>
        </is>
      </c>
      <c r="L87" s="4" t="n"/>
      <c r="M87" s="4" t="n"/>
      <c r="N87" s="4" t="n"/>
      <c r="O87" s="6" t="inlineStr">
        <is>
          <t>This week 4 batches out of 10 come out at the edge of spec.</t>
        </is>
      </c>
      <c r="P87" s="6" t="inlineStr">
        <is>
          <t>Blend batches</t>
        </is>
      </c>
      <c r="Q87" s="6" t="inlineStr">
        <is>
          <t>You blend doubtful batches in parts with good ones so the average passes.</t>
        </is>
      </c>
      <c r="R87" s="6" t="inlineStr">
        <is>
          <t>Cost ↓ · SG&amp;A ↑ · RED LINE</t>
        </is>
      </c>
      <c r="S87" s="6" t="inlineStr">
        <is>
          <t>Red line: you blended doubtful batches with good ones to pass. It is quality fraud: recall, sanction.</t>
        </is>
      </c>
      <c r="T87" s="4" t="n"/>
    </row>
    <row r="88" ht="40.5" customHeight="1">
      <c r="A88" s="6" t="inlineStr">
        <is>
          <t>m06p</t>
        </is>
      </c>
      <c r="B88" s="6" t="inlineStr">
        <is>
          <t>Cualquiera</t>
        </is>
      </c>
      <c r="C88" s="6" t="inlineStr">
        <is>
          <t>PLANTA</t>
        </is>
      </c>
      <c r="D88" s="6" t="inlineStr">
        <is>
          <t>HOSPITALES</t>
        </is>
      </c>
      <c r="E88" s="6" t="inlineStr">
        <is>
          <t>Esta semana 4 lotes de 10 salen al límite de la especificación.</t>
        </is>
      </c>
      <c r="F88" s="6" t="inlineStr">
        <is>
          <t>Controles extra</t>
        </is>
      </c>
      <c r="G88" s="6" t="inlineStr">
        <is>
          <t>Agregas pruebas a cada lote y la liberación se demora 2 días.</t>
        </is>
      </c>
      <c r="H88" s="6" t="inlineStr">
        <is>
          <t>Ventas ↓ · Direct Chg ↑</t>
        </is>
      </c>
      <c r="I88" s="6" t="inlineStr">
        <is>
          <t>Direct Chg</t>
        </is>
      </c>
      <c r="J88" s="6" t="inlineStr">
        <is>
          <t>Ceder</t>
        </is>
      </c>
      <c r="K88" s="6" t="inlineStr">
        <is>
          <t>Cesión: agregaste pruebas a cada lote y la liberación tarda 2 días más: calidad firme, costo y atrasos.</t>
        </is>
      </c>
      <c r="L88" s="4" t="n"/>
      <c r="M88" s="4" t="n"/>
      <c r="N88" s="4" t="n"/>
      <c r="O88" s="6" t="inlineStr">
        <is>
          <t>This week 4 batches out of 10 come out at the edge of spec.</t>
        </is>
      </c>
      <c r="P88" s="6" t="inlineStr">
        <is>
          <t>Extra checks</t>
        </is>
      </c>
      <c r="Q88" s="6" t="inlineStr">
        <is>
          <t>You add checks to each batch and release slips 2 days.</t>
        </is>
      </c>
      <c r="R88" s="6" t="inlineStr">
        <is>
          <t>Sales ↓ · Direct Chg ↑</t>
        </is>
      </c>
      <c r="S88" s="6" t="inlineStr">
        <is>
          <t>Concession: you added tests to every batch and release takes 2 days more: firm quality, cost and delays.</t>
        </is>
      </c>
      <c r="T88" s="4" t="n"/>
    </row>
    <row r="89" ht="27" customHeight="1">
      <c r="A89" s="6" t="inlineStr">
        <is>
          <t>m06p</t>
        </is>
      </c>
      <c r="B89" s="6" t="inlineStr">
        <is>
          <t>Cualquiera</t>
        </is>
      </c>
      <c r="C89" s="6" t="inlineStr">
        <is>
          <t>PLANTA</t>
        </is>
      </c>
      <c r="D89" s="6" t="inlineStr">
        <is>
          <t>HOSPITALES</t>
        </is>
      </c>
      <c r="E89" s="6" t="inlineStr">
        <is>
          <t>Esta semana 4 lotes de 10 salen al límite de la especificación.</t>
        </is>
      </c>
      <c r="F89" s="6" t="inlineStr">
        <is>
          <t>Esperar un reclamo</t>
        </is>
      </c>
      <c r="G89" s="6" t="inlineStr">
        <is>
          <t>Despachas 4 lotes y archivas las pruebas hasta que algún cliente reclame.</t>
        </is>
      </c>
      <c r="H89" s="6" t="inlineStr">
        <is>
          <t>Costo ↑</t>
        </is>
      </c>
      <c r="I89" s="6" t="inlineStr">
        <is>
          <t>Costo</t>
        </is>
      </c>
      <c r="J89" s="6" t="inlineStr">
        <is>
          <t>Pasiva</t>
        </is>
      </c>
      <c r="K89" s="6" t="inlineStr">
        <is>
          <t>Pasividad: despachaste los 4 lotes sin reforzar nada: cuando un hospital reclame, será por escrito.</t>
        </is>
      </c>
      <c r="L89" s="4" t="n"/>
      <c r="M89" s="4" t="n"/>
      <c r="N89" s="4" t="n"/>
      <c r="O89" s="6" t="inlineStr">
        <is>
          <t>This week 4 batches out of 10 come out at the edge of spec.</t>
        </is>
      </c>
      <c r="P89" s="6" t="inlineStr">
        <is>
          <t>Wait for a claim</t>
        </is>
      </c>
      <c r="Q89" s="6" t="inlineStr">
        <is>
          <t>You ship 4 batches to log whether any client complains.</t>
        </is>
      </c>
      <c r="R89" s="6" t="inlineStr">
        <is>
          <t>Cost ↑</t>
        </is>
      </c>
      <c r="S89" s="6" t="inlineStr">
        <is>
          <t>Passivity: you shipped 4 batches unchecked: when a hospital complains, it will be in writing.</t>
        </is>
      </c>
      <c r="T89" s="4" t="n"/>
    </row>
    <row r="90" ht="40.5" customHeight="1">
      <c r="A90" s="6" t="inlineStr">
        <is>
          <t>m06e</t>
        </is>
      </c>
      <c r="B90" s="6" t="inlineStr">
        <is>
          <t>Cualquiera</t>
        </is>
      </c>
      <c r="C90" s="6" t="inlineStr">
        <is>
          <t>ENTORNO</t>
        </is>
      </c>
      <c r="D90" s="6" t="inlineStr">
        <is>
          <t>ALIMENTOS</t>
        </is>
      </c>
      <c r="E90" s="6" t="inlineStr">
        <is>
          <t>Una norma ambiental limita 20% el uso de agua en las plantas de alimentos.</t>
        </is>
      </c>
      <c r="F90" s="6" t="inlineStr">
        <is>
          <t>Programa de reuso</t>
        </is>
      </c>
      <c r="G90" s="6" t="inlineStr">
        <is>
          <t>Propones un programa de reuso de agua con pago por m3 ahorrado.</t>
        </is>
      </c>
      <c r="H90" s="6" t="inlineStr">
        <is>
          <t>Ventas ↑ · Direct Chg ↑</t>
        </is>
      </c>
      <c r="I90" s="6" t="inlineStr">
        <is>
          <t>Ventas</t>
        </is>
      </c>
      <c r="J90" s="6" t="inlineStr">
        <is>
          <t>Equilibrada</t>
        </is>
      </c>
      <c r="K90" s="6" t="inlineStr">
        <is>
          <t>Equilibrada: el programa de reuso con pago por m3 ahorrado alinea tu ingreso con el ahorro del cliente.</t>
        </is>
      </c>
      <c r="L90" s="4" t="n"/>
      <c r="M90" s="4" t="n"/>
      <c r="N90" s="4" t="n"/>
      <c r="O90" s="6" t="inlineStr">
        <is>
          <t>An environmental rule cuts water use 20% at food plants.</t>
        </is>
      </c>
      <c r="P90" s="6" t="inlineStr">
        <is>
          <t>Reuse program</t>
        </is>
      </c>
      <c r="Q90" s="6" t="inlineStr">
        <is>
          <t>You offer a water-reuse program paid per m3 saved.</t>
        </is>
      </c>
      <c r="R90" s="6" t="inlineStr">
        <is>
          <t>Sales ↑ · Direct Chg ↑</t>
        </is>
      </c>
      <c r="S90" s="6" t="inlineStr">
        <is>
          <t>Balanced: the reuse program paid per m3 saved ties your income to the savings of the client.</t>
        </is>
      </c>
      <c r="T90" s="4" t="n"/>
    </row>
    <row r="91" ht="40.5" customHeight="1">
      <c r="A91" s="6" t="inlineStr">
        <is>
          <t>m06e</t>
        </is>
      </c>
      <c r="B91" s="6" t="inlineStr">
        <is>
          <t>Cualquiera</t>
        </is>
      </c>
      <c r="C91" s="6" t="inlineStr">
        <is>
          <t>ENTORNO</t>
        </is>
      </c>
      <c r="D91" s="6" t="inlineStr">
        <is>
          <t>ALIMENTOS</t>
        </is>
      </c>
      <c r="E91" s="6" t="inlineStr">
        <is>
          <t>Una norma ambiental limita 20% el uso de agua en las plantas de alimentos.</t>
        </is>
      </c>
      <c r="F91" s="6" t="inlineStr">
        <is>
          <t>Paquete cerrado</t>
        </is>
      </c>
      <c r="G91" s="6" t="inlineStr">
        <is>
          <t>Vendes un paquete llave en mano aún no probado y firmas 3 contratos.</t>
        </is>
      </c>
      <c r="H91" s="6" t="inlineStr">
        <is>
          <t>Ventas ↑</t>
        </is>
      </c>
      <c r="I91" s="6" t="inlineStr">
        <is>
          <t>Ventas</t>
        </is>
      </c>
      <c r="J91" s="6" t="inlineStr">
        <is>
          <t>Atajo</t>
        </is>
      </c>
      <c r="K91" s="6" t="inlineStr">
        <is>
          <t>Atajo: vendiste un paquete sin probar y firmaste 3 contratos; si falla, el reclamo es tuyo.</t>
        </is>
      </c>
      <c r="L91" s="4" t="n"/>
      <c r="M91" s="4" t="n"/>
      <c r="N91" s="4" t="n"/>
      <c r="O91" s="6" t="inlineStr">
        <is>
          <t>An environmental rule cuts water use 20% at food plants.</t>
        </is>
      </c>
      <c r="P91" s="6" t="inlineStr">
        <is>
          <t>Closed package</t>
        </is>
      </c>
      <c r="Q91" s="6" t="inlineStr">
        <is>
          <t>You sell an untested turnkey package and sign 3 contracts.</t>
        </is>
      </c>
      <c r="R91" s="6" t="inlineStr">
        <is>
          <t>Sales ↑</t>
        </is>
      </c>
      <c r="S91" s="6" t="inlineStr">
        <is>
          <t>Shortcut: you sold an untested turnkey package and signed 3 contracts; if it fails, the claim is yours.</t>
        </is>
      </c>
      <c r="T91" s="4" t="n"/>
    </row>
    <row r="92" ht="40.5" customHeight="1">
      <c r="A92" s="6" t="inlineStr">
        <is>
          <t>m06e</t>
        </is>
      </c>
      <c r="B92" s="6" t="inlineStr">
        <is>
          <t>Cualquiera</t>
        </is>
      </c>
      <c r="C92" s="6" t="inlineStr">
        <is>
          <t>ENTORNO</t>
        </is>
      </c>
      <c r="D92" s="6" t="inlineStr">
        <is>
          <t>ALIMENTOS</t>
        </is>
      </c>
      <c r="E92" s="6" t="inlineStr">
        <is>
          <t>Una norma ambiental limita 20% el uso de agua en las plantas de alimentos.</t>
        </is>
      </c>
      <c r="F92" s="6" t="inlineStr">
        <is>
          <t>Diagnóstico gratis</t>
        </is>
      </c>
      <c r="G92" s="6" t="inlineStr">
        <is>
          <t>Haces diagnósticos de ahorro gratis a los clientes para ganarte su confianza.</t>
        </is>
      </c>
      <c r="H92" s="6" t="inlineStr">
        <is>
          <t>Direct Chg ↑</t>
        </is>
      </c>
      <c r="I92" s="6" t="inlineStr">
        <is>
          <t>Direct Chg</t>
        </is>
      </c>
      <c r="J92" s="6" t="inlineStr">
        <is>
          <t>Ceder</t>
        </is>
      </c>
      <c r="K92" s="6" t="inlineStr">
        <is>
          <t>Cesión: los diagnósticos gratis ganan confianza, pero el servicio sin cobrar suma Direct Chg sin ventas.</t>
        </is>
      </c>
      <c r="L92" s="4" t="n"/>
      <c r="M92" s="4" t="n"/>
      <c r="N92" s="4" t="n"/>
      <c r="O92" s="6" t="inlineStr">
        <is>
          <t>An environmental rule cuts water use 20% at food plants.</t>
        </is>
      </c>
      <c r="P92" s="6" t="inlineStr">
        <is>
          <t>Free diagnostics</t>
        </is>
      </c>
      <c r="Q92" s="6" t="inlineStr">
        <is>
          <t>You run free savings diagnostics with clients to win their trust.</t>
        </is>
      </c>
      <c r="R92" s="6" t="inlineStr">
        <is>
          <t>Direct Chg ↑</t>
        </is>
      </c>
      <c r="S92" s="6" t="inlineStr">
        <is>
          <t>Concession: free diagnostics win trust, but unbilled service adds Direct Chg without sales.</t>
        </is>
      </c>
      <c r="T92" s="4" t="n"/>
    </row>
    <row r="93" ht="40.5" customHeight="1">
      <c r="A93" s="6" t="inlineStr">
        <is>
          <t>m06e</t>
        </is>
      </c>
      <c r="B93" s="6" t="inlineStr">
        <is>
          <t>Cualquiera</t>
        </is>
      </c>
      <c r="C93" s="6" t="inlineStr">
        <is>
          <t>ENTORNO</t>
        </is>
      </c>
      <c r="D93" s="6" t="inlineStr">
        <is>
          <t>ALIMENTOS</t>
        </is>
      </c>
      <c r="E93" s="6" t="inlineStr">
        <is>
          <t>Una norma ambiental limita 20% el uso de agua en las plantas de alimentos.</t>
        </is>
      </c>
      <c r="F93" s="6" t="inlineStr">
        <is>
          <t>Que pidan ayuda</t>
        </is>
      </c>
      <c r="G93" s="6" t="inlineStr">
        <is>
          <t>Ayudas solo a quien lo pide, con una respuesta en 10 días.</t>
        </is>
      </c>
      <c r="H93" s="6" t="inlineStr">
        <is>
          <t>Ventas ↓</t>
        </is>
      </c>
      <c r="I93" s="6" t="inlineStr">
        <is>
          <t>Ventas</t>
        </is>
      </c>
      <c r="J93" s="6" t="inlineStr">
        <is>
          <t>Pasiva</t>
        </is>
      </c>
      <c r="K93" s="6" t="inlineStr">
        <is>
          <t>Pasividad: ayudaste solo a quien pidió y en 10 días varios clientes ya habían contratado a otro.</t>
        </is>
      </c>
      <c r="L93" s="4" t="n"/>
      <c r="M93" s="4" t="n"/>
      <c r="N93" s="4" t="n"/>
      <c r="O93" s="6" t="inlineStr">
        <is>
          <t>An environmental rule cuts water use 20% at food plants.</t>
        </is>
      </c>
      <c r="P93" s="6" t="inlineStr">
        <is>
          <t>Let them ask</t>
        </is>
      </c>
      <c r="Q93" s="6" t="inlineStr">
        <is>
          <t>You help only whoever asks, with a reply in 10 days.</t>
        </is>
      </c>
      <c r="R93" s="6" t="inlineStr">
        <is>
          <t>Sales ↓</t>
        </is>
      </c>
      <c r="S93" s="6" t="inlineStr">
        <is>
          <t>Passivity: you helped only those who asked and in 10 days several clients had hired another supplier.</t>
        </is>
      </c>
      <c r="T93" s="4" t="n"/>
    </row>
    <row r="94" ht="27" customHeight="1">
      <c r="A94" s="6" t="inlineStr">
        <is>
          <t>m06s</t>
        </is>
      </c>
      <c r="B94" s="6" t="inlineStr">
        <is>
          <t>Cualquiera</t>
        </is>
      </c>
      <c r="C94" s="6" t="inlineStr">
        <is>
          <t>ESTRATEGIA</t>
        </is>
      </c>
      <c r="D94" s="6" t="inlineStr">
        <is>
          <t>HOTELES</t>
        </is>
      </c>
      <c r="E94" s="6" t="inlineStr">
        <is>
          <t>Un cliente grande de otro país pide cotización en 30 días.</t>
        </is>
      </c>
      <c r="F94" s="6" t="inlineStr">
        <is>
          <t>Entrar con socio</t>
        </is>
      </c>
      <c r="G94" s="6" t="inlineStr">
        <is>
          <t>Eliges un distribuidor local y limitas la inversión del primer año.</t>
        </is>
      </c>
      <c r="H94" s="6" t="inlineStr">
        <is>
          <t>SG&amp;A ↑ · volumen +1,5%</t>
        </is>
      </c>
      <c r="I94" s="6" t="inlineStr">
        <is>
          <t>SG&amp;A</t>
        </is>
      </c>
      <c r="J94" s="6" t="inlineStr">
        <is>
          <t>Equilibrada</t>
        </is>
      </c>
      <c r="K94" s="6" t="inlineStr">
        <is>
          <t>Equilibrada: entraste con distribuidor local y acotaste la inversión: ventas nuevas, riesgo bajo.</t>
        </is>
      </c>
      <c r="L94" s="4" t="n"/>
      <c r="M94" s="4" t="n"/>
      <c r="N94" s="4" t="n"/>
      <c r="O94" s="6" t="inlineStr">
        <is>
          <t>A big client abroad asks for a quote within 30 days.</t>
        </is>
      </c>
      <c r="P94" s="6" t="inlineStr">
        <is>
          <t>Enter with partner</t>
        </is>
      </c>
      <c r="Q94" s="6" t="inlineStr">
        <is>
          <t>You pick a local distributor and cap the first-year investment.</t>
        </is>
      </c>
      <c r="R94" s="6" t="inlineStr">
        <is>
          <t>SG&amp;A ↑ · volume +1.5%</t>
        </is>
      </c>
      <c r="S94" s="6" t="inlineStr">
        <is>
          <t>Balanced: you entered with a local distributor and limited the investment: new sales, bounded risk.</t>
        </is>
      </c>
      <c r="T94" s="4" t="n"/>
    </row>
    <row r="95" ht="40.5" customHeight="1">
      <c r="A95" s="6" t="inlineStr">
        <is>
          <t>m06s</t>
        </is>
      </c>
      <c r="B95" s="6" t="inlineStr">
        <is>
          <t>Cualquiera</t>
        </is>
      </c>
      <c r="C95" s="6" t="inlineStr">
        <is>
          <t>ESTRATEGIA</t>
        </is>
      </c>
      <c r="D95" s="6" t="inlineStr">
        <is>
          <t>HOTELES</t>
        </is>
      </c>
      <c r="E95" s="6" t="inlineStr">
        <is>
          <t>Un cliente grande de otro país pide cotización en 30 días.</t>
        </is>
      </c>
      <c r="F95" s="6" t="inlineStr">
        <is>
          <t>Atender de lejos</t>
        </is>
      </c>
      <c r="G95" s="6" t="inlineStr">
        <is>
          <t>Atiendes a distancia con precios 15% altos para cubrir el riesgo inicial.</t>
        </is>
      </c>
      <c r="H95" s="6" t="inlineStr">
        <is>
          <t>volumen +0,6%, precio +0,3%</t>
        </is>
      </c>
      <c r="I95" s="6" t="inlineStr">
        <is>
          <t>Ventas</t>
        </is>
      </c>
      <c r="J95" s="6" t="inlineStr">
        <is>
          <t>Atajo</t>
        </is>
      </c>
      <c r="K95" s="6" t="inlineStr">
        <is>
          <t>Atajo: atiendes a distancia con precios 15% altos: ganas margen hoy y el cliente verá un servicio frágil.</t>
        </is>
      </c>
      <c r="L95" s="4" t="n"/>
      <c r="M95" s="4" t="n"/>
      <c r="N95" s="4" t="n"/>
      <c r="O95" s="6" t="inlineStr">
        <is>
          <t>A big client abroad asks for a quote within 30 days.</t>
        </is>
      </c>
      <c r="P95" s="6" t="inlineStr">
        <is>
          <t>Serve from afar</t>
        </is>
      </c>
      <c r="Q95" s="6" t="inlineStr">
        <is>
          <t>You serve from here at prices 15% higher to cover the initial risk.</t>
        </is>
      </c>
      <c r="R95" s="6" t="inlineStr">
        <is>
          <t>volume +0.6%, price +0.3%</t>
        </is>
      </c>
      <c r="S95" s="6" t="inlineStr">
        <is>
          <t>Shortcut: you serve from afar at 15% higher prices: margin now, and a service the client sees as fragile.</t>
        </is>
      </c>
      <c r="T95" s="4" t="n"/>
    </row>
    <row r="96" ht="27" customHeight="1">
      <c r="A96" s="6" t="inlineStr">
        <is>
          <t>m06s</t>
        </is>
      </c>
      <c r="B96" s="6" t="inlineStr">
        <is>
          <t>Cualquiera</t>
        </is>
      </c>
      <c r="C96" s="6" t="inlineStr">
        <is>
          <t>ESTRATEGIA</t>
        </is>
      </c>
      <c r="D96" s="6" t="inlineStr">
        <is>
          <t>HOTELES</t>
        </is>
      </c>
      <c r="E96" s="6" t="inlineStr">
        <is>
          <t>Un cliente grande de otro país pide cotización en 30 días.</t>
        </is>
      </c>
      <c r="F96" s="6" t="inlineStr">
        <is>
          <t>Asumir requisitos</t>
        </is>
      </c>
      <c r="G96" s="6" t="inlineStr">
        <is>
          <t>Asumes los requisitos del cliente con sus contratos al partir.</t>
        </is>
      </c>
      <c r="H96" s="6" t="inlineStr">
        <is>
          <t>SG&amp;A ↑ · volumen +0,8%</t>
        </is>
      </c>
      <c r="I96" s="6" t="inlineStr">
        <is>
          <t>SG&amp;A</t>
        </is>
      </c>
      <c r="J96" s="6" t="inlineStr">
        <is>
          <t>Ceder</t>
        </is>
      </c>
      <c r="K96" s="6" t="inlineStr">
        <is>
          <t>Cesión: asumiste todos sus requisitos desde el inicio: el SG&amp;A parte antes que las ventas.</t>
        </is>
      </c>
      <c r="L96" s="4" t="n"/>
      <c r="M96" s="4" t="n"/>
      <c r="N96" s="4" t="n"/>
      <c r="O96" s="6" t="inlineStr">
        <is>
          <t>A big client abroad asks for a quote within 30 days.</t>
        </is>
      </c>
      <c r="P96" s="6" t="inlineStr">
        <is>
          <t>Take the terms</t>
        </is>
      </c>
      <c r="Q96" s="6" t="inlineStr">
        <is>
          <t>You take the client's requirements and contracts from day 1.</t>
        </is>
      </c>
      <c r="R96" s="6" t="inlineStr">
        <is>
          <t>SG&amp;A ↑ · volume +0.8%</t>
        </is>
      </c>
      <c r="S96" s="6" t="inlineStr">
        <is>
          <t>Concession: you took on all its requirements from the start: the SG&amp;A begins before the sales.</t>
        </is>
      </c>
      <c r="T96" s="4" t="n"/>
    </row>
    <row r="97" ht="27" customHeight="1">
      <c r="A97" s="6" t="inlineStr">
        <is>
          <t>m06s</t>
        </is>
      </c>
      <c r="B97" s="6" t="inlineStr">
        <is>
          <t>Cualquiera</t>
        </is>
      </c>
      <c r="C97" s="6" t="inlineStr">
        <is>
          <t>ESTRATEGIA</t>
        </is>
      </c>
      <c r="D97" s="6" t="inlineStr">
        <is>
          <t>HOTELES</t>
        </is>
      </c>
      <c r="E97" s="6" t="inlineStr">
        <is>
          <t>Un cliente grande de otro país pide cotización en 30 días.</t>
        </is>
      </c>
      <c r="F97" s="6" t="inlineStr">
        <is>
          <t>Cotización tardía</t>
        </is>
      </c>
      <c r="G97" s="6" t="inlineStr">
        <is>
          <t>Envías la cotización por correo en 45 días, con los requisitos revisados.</t>
        </is>
      </c>
      <c r="H97" s="6" t="inlineStr">
        <is>
          <t>Ventas ↓</t>
        </is>
      </c>
      <c r="I97" s="6" t="inlineStr">
        <is>
          <t>Ventas</t>
        </is>
      </c>
      <c r="J97" s="6" t="inlineStr">
        <is>
          <t>Pasiva</t>
        </is>
      </c>
      <c r="K97" s="6" t="inlineStr">
        <is>
          <t>Pasividad: cotizaste a los 45 días y el cliente ya había elegido a otro proveedor.</t>
        </is>
      </c>
      <c r="L97" s="4" t="n"/>
      <c r="M97" s="4" t="n"/>
      <c r="N97" s="4" t="n"/>
      <c r="O97" s="6" t="inlineStr">
        <is>
          <t>A big client abroad asks for a quote within 30 days.</t>
        </is>
      </c>
      <c r="P97" s="6" t="inlineStr">
        <is>
          <t>Late quote</t>
        </is>
      </c>
      <c r="Q97" s="6" t="inlineStr">
        <is>
          <t>You email the quote in 45 days, with the requirements reviewed.</t>
        </is>
      </c>
      <c r="R97" s="6" t="inlineStr">
        <is>
          <t>Sales ↓</t>
        </is>
      </c>
      <c r="S97" s="6" t="inlineStr">
        <is>
          <t>Passivity: you quoted at 45 days and the client had already chosen another supplier.</t>
        </is>
      </c>
      <c r="T97" s="4" t="n"/>
    </row>
    <row r="98" ht="40.5" customHeight="1">
      <c r="A98" s="6" t="inlineStr">
        <is>
          <t>m07c</t>
        </is>
      </c>
      <c r="B98" s="6" t="inlineStr">
        <is>
          <t>Cualquiera</t>
        </is>
      </c>
      <c r="C98" s="6" t="inlineStr">
        <is>
          <t>CLIENTE</t>
        </is>
      </c>
      <c r="D98" s="6" t="inlineStr">
        <is>
          <t>INDUSTRIA</t>
        </is>
      </c>
      <c r="E98" s="6" t="inlineStr">
        <is>
          <t>Un cliente (11% de tus ventas) pide auditar tus costos y tu margen.</t>
        </is>
      </c>
      <c r="F98" s="6" t="inlineStr">
        <is>
          <t>Abrir con reglas</t>
        </is>
      </c>
      <c r="G98" s="6" t="inlineStr">
        <is>
          <t>Aceptas auditar y muestras flete y Direct Chg para acordar cómo comparar.</t>
        </is>
      </c>
      <c r="H98" s="6" t="inlineStr">
        <is>
          <t>Ventas ↑ · Direct Chg ↑</t>
        </is>
      </c>
      <c r="I98" s="6" t="inlineStr">
        <is>
          <t>Ventas</t>
        </is>
      </c>
      <c r="J98" s="6" t="inlineStr">
        <is>
          <t>Equilibrada</t>
        </is>
      </c>
      <c r="K98" s="6" t="inlineStr">
        <is>
          <t>Equilibrada: abriste flete y Direct Chg con reglas claras; el cliente ve el valor y no pide más rebaja.</t>
        </is>
      </c>
      <c r="L98" s="4" t="n"/>
      <c r="M98" s="4" t="n"/>
      <c r="N98" s="4" t="n"/>
      <c r="O98" s="6" t="inlineStr">
        <is>
          <t>A client (11% of your sales) asks to audit your costs and margin.</t>
        </is>
      </c>
      <c r="P98" s="6" t="inlineStr">
        <is>
          <t>Open with rules</t>
        </is>
      </c>
      <c r="Q98" s="6" t="inlineStr">
        <is>
          <t>You accept the audit and show freight and Direct Chg to set how costs compare.</t>
        </is>
      </c>
      <c r="R98" s="6" t="inlineStr">
        <is>
          <t>Sales ↑ · Direct Chg ↑</t>
        </is>
      </c>
      <c r="S98" s="6" t="inlineStr">
        <is>
          <t>Balanced: you opened freight and Direct Chg with clear rules; the client sees the value.</t>
        </is>
      </c>
      <c r="T98" s="4" t="n"/>
    </row>
    <row r="99" ht="27" customHeight="1">
      <c r="A99" s="6" t="inlineStr">
        <is>
          <t>m07c</t>
        </is>
      </c>
      <c r="B99" s="6" t="inlineStr">
        <is>
          <t>Cualquiera</t>
        </is>
      </c>
      <c r="C99" s="6" t="inlineStr">
        <is>
          <t>CLIENTE</t>
        </is>
      </c>
      <c r="D99" s="6" t="inlineStr">
        <is>
          <t>INDUSTRIA</t>
        </is>
      </c>
      <c r="E99" s="6" t="inlineStr">
        <is>
          <t>Un cliente (11% de tus ventas) pide auditar tus costos y tu margen.</t>
        </is>
      </c>
      <c r="F99" s="6" t="inlineStr">
        <is>
          <t>Mostrar a medias</t>
        </is>
      </c>
      <c r="G99" s="6" t="inlineStr">
        <is>
          <t>Muestras los costos que te favorecen con el resto en resumen.</t>
        </is>
      </c>
      <c r="H99" s="6" t="inlineStr">
        <is>
          <t>Ventas ↑</t>
        </is>
      </c>
      <c r="I99" s="6" t="inlineStr">
        <is>
          <t>Ventas</t>
        </is>
      </c>
      <c r="J99" s="6" t="inlineStr">
        <is>
          <t>Atajo</t>
        </is>
      </c>
      <c r="K99" s="6" t="inlineStr">
        <is>
          <t>Atajo: mostraste solo los costos que te favorecen; si el cliente cruza datos, pierdes su confianza.</t>
        </is>
      </c>
      <c r="L99" s="4" t="n"/>
      <c r="M99" s="4" t="n"/>
      <c r="N99" s="4" t="n"/>
      <c r="O99" s="6" t="inlineStr">
        <is>
          <t>A client (11% of your sales) asks to audit your costs and margin.</t>
        </is>
      </c>
      <c r="P99" s="6" t="inlineStr">
        <is>
          <t>Show only part</t>
        </is>
      </c>
      <c r="Q99" s="6" t="inlineStr">
        <is>
          <t>You hand over the costs that favor you, the rest in summary.</t>
        </is>
      </c>
      <c r="R99" s="6" t="inlineStr">
        <is>
          <t>Sales ↑</t>
        </is>
      </c>
      <c r="S99" s="6" t="inlineStr">
        <is>
          <t>Shortcut: you showed only the costs that favor you; if the client cross-checks, you lose its trust.</t>
        </is>
      </c>
      <c r="T99" s="4" t="n"/>
    </row>
    <row r="100" ht="40.5" customHeight="1">
      <c r="A100" s="6" t="inlineStr">
        <is>
          <t>m07c</t>
        </is>
      </c>
      <c r="B100" s="6" t="inlineStr">
        <is>
          <t>Cualquiera</t>
        </is>
      </c>
      <c r="C100" s="6" t="inlineStr">
        <is>
          <t>CLIENTE</t>
        </is>
      </c>
      <c r="D100" s="6" t="inlineStr">
        <is>
          <t>INDUSTRIA</t>
        </is>
      </c>
      <c r="E100" s="6" t="inlineStr">
        <is>
          <t>Un cliente (11% de tus ventas) pide auditar tus costos y tu margen.</t>
        </is>
      </c>
      <c r="F100" s="6" t="inlineStr">
        <is>
          <t>Libro abierto</t>
        </is>
      </c>
      <c r="G100" s="6" t="inlineStr">
        <is>
          <t>Abres los costos por línea y aceptas bajar tu margen 2 puntos.</t>
        </is>
      </c>
      <c r="H100" s="6" t="inlineStr">
        <is>
          <t>Ventas ↓</t>
        </is>
      </c>
      <c r="I100" s="6" t="inlineStr">
        <is>
          <t>Ventas</t>
        </is>
      </c>
      <c r="J100" s="6" t="inlineStr">
        <is>
          <t>Ceder</t>
        </is>
      </c>
      <c r="K100" s="6" t="inlineStr">
        <is>
          <t>Cesión: abriste todo y aceptaste bajar 2 puntos de margen sin discutir el valor que entregas.</t>
        </is>
      </c>
      <c r="L100" s="4" t="n"/>
      <c r="M100" s="4" t="n"/>
      <c r="N100" s="4" t="n"/>
      <c r="O100" s="6" t="inlineStr">
        <is>
          <t>A client (11% of your sales) asks to audit your costs and margin.</t>
        </is>
      </c>
      <c r="P100" s="6" t="inlineStr">
        <is>
          <t>Open book</t>
        </is>
      </c>
      <c r="Q100" s="6" t="inlineStr">
        <is>
          <t>You hand over costs by line and agree to cut your margin 2 points.</t>
        </is>
      </c>
      <c r="R100" s="6" t="inlineStr">
        <is>
          <t>Sales ↓</t>
        </is>
      </c>
      <c r="S100" s="6" t="inlineStr">
        <is>
          <t>Concession: you opened everything and agreed to cut 2 margin points without arguing the value you give.</t>
        </is>
      </c>
      <c r="T100" s="4" t="n"/>
    </row>
    <row r="101" ht="40.5" customHeight="1">
      <c r="A101" s="6" t="inlineStr">
        <is>
          <t>m07c</t>
        </is>
      </c>
      <c r="B101" s="6" t="inlineStr">
        <is>
          <t>Cualquiera</t>
        </is>
      </c>
      <c r="C101" s="6" t="inlineStr">
        <is>
          <t>CLIENTE</t>
        </is>
      </c>
      <c r="D101" s="6" t="inlineStr">
        <is>
          <t>INDUSTRIA</t>
        </is>
      </c>
      <c r="E101" s="6" t="inlineStr">
        <is>
          <t>Un cliente (11% de tus ventas) pide auditar tus costos y tu margen.</t>
        </is>
      </c>
      <c r="F101" s="6" t="inlineStr">
        <is>
          <t>Auditoría después</t>
        </is>
      </c>
      <c r="G101" s="6" t="inlineStr">
        <is>
          <t>Postergas la auditoría por falta de tiempo, hasta 6 meses.</t>
        </is>
      </c>
      <c r="H101" s="6" t="inlineStr">
        <is>
          <t>Ventas ↓</t>
        </is>
      </c>
      <c r="I101" s="6" t="inlineStr">
        <is>
          <t>Ventas</t>
        </is>
      </c>
      <c r="J101" s="6" t="inlineStr">
        <is>
          <t>Pasiva</t>
        </is>
      </c>
      <c r="K101" s="6" t="inlineStr">
        <is>
          <t>Pasividad: postergaste la auditoría 6 meses y el cliente asumió que escondías algo: compró menos.</t>
        </is>
      </c>
      <c r="L101" s="4" t="n"/>
      <c r="M101" s="4" t="n"/>
      <c r="N101" s="4" t="n"/>
      <c r="O101" s="6" t="inlineStr">
        <is>
          <t>A client (11% of your sales) asks to audit your costs and margin.</t>
        </is>
      </c>
      <c r="P101" s="6" t="inlineStr">
        <is>
          <t>Audit postponed</t>
        </is>
      </c>
      <c r="Q101" s="6" t="inlineStr">
        <is>
          <t>You put off the audit for lack of time, up to 6 months.</t>
        </is>
      </c>
      <c r="R101" s="6" t="inlineStr">
        <is>
          <t>Sales ↓</t>
        </is>
      </c>
      <c r="S101" s="6" t="inlineStr">
        <is>
          <t>Passivity: you postponed the audit 6 months and the client assumed you were hiding something: it bought less.</t>
        </is>
      </c>
      <c r="T101" s="4" t="n"/>
    </row>
    <row r="102" ht="40.5" customHeight="1">
      <c r="A102" s="6" t="inlineStr">
        <is>
          <t>m07p</t>
        </is>
      </c>
      <c r="B102" s="6" t="inlineStr">
        <is>
          <t>Cualquiera</t>
        </is>
      </c>
      <c r="C102" s="6" t="inlineStr">
        <is>
          <t>PLANTA</t>
        </is>
      </c>
      <c r="D102" s="6" t="inlineStr">
        <is>
          <t>ALIMENTOS</t>
        </is>
      </c>
      <c r="E102" s="6" t="inlineStr">
        <is>
          <t>Tu único proveedor se atrasa 3 semanas con un insumo que pesa 30% del costo.</t>
        </is>
      </c>
      <c r="F102" s="6" t="inlineStr">
        <is>
          <t>Segundo proveedor</t>
        </is>
      </c>
      <c r="G102" s="6" t="inlineStr">
        <is>
          <t>Calificas un segundo proveedor con 2 pruebas y cubres el hueco con stock.</t>
        </is>
      </c>
      <c r="H102" s="6" t="inlineStr">
        <is>
          <t>Ventas ↑ · Costo ↓</t>
        </is>
      </c>
      <c r="I102" s="6" t="inlineStr">
        <is>
          <t>Costo</t>
        </is>
      </c>
      <c r="J102" s="6" t="inlineStr">
        <is>
          <t>Equilibrada</t>
        </is>
      </c>
      <c r="K102" s="6" t="inlineStr">
        <is>
          <t>Equilibrada: calificaste un segundo proveedor y cubriste el hueco con stock: dependes menos de uno solo.</t>
        </is>
      </c>
      <c r="L102" s="4" t="n"/>
      <c r="M102" s="4" t="n"/>
      <c r="N102" s="4" t="n"/>
      <c r="O102" s="6" t="inlineStr">
        <is>
          <t>Your only supplier is 3 weeks late on an input that is 30% of cost.</t>
        </is>
      </c>
      <c r="P102" s="6" t="inlineStr">
        <is>
          <t>Second supplier</t>
        </is>
      </c>
      <c r="Q102" s="6" t="inlineStr">
        <is>
          <t>You qualify a second supplier with 2 tests and cover the gap with stock.</t>
        </is>
      </c>
      <c r="R102" s="6" t="inlineStr">
        <is>
          <t>Sales ↑ · Cost ↓</t>
        </is>
      </c>
      <c r="S102" s="6" t="inlineStr">
        <is>
          <t>Balanced: you qualified a second supplier and covered the gap with stock: you depend less on one.</t>
        </is>
      </c>
      <c r="T102" s="4" t="n"/>
    </row>
    <row r="103" ht="40.5" customHeight="1">
      <c r="A103" s="6" t="inlineStr">
        <is>
          <t>m07p</t>
        </is>
      </c>
      <c r="B103" s="6" t="inlineStr">
        <is>
          <t>Cualquiera</t>
        </is>
      </c>
      <c r="C103" s="6" t="inlineStr">
        <is>
          <t>PLANTA</t>
        </is>
      </c>
      <c r="D103" s="6" t="inlineStr">
        <is>
          <t>ALIMENTOS</t>
        </is>
      </c>
      <c r="E103" s="6" t="inlineStr">
        <is>
          <t>Tu único proveedor se atrasa 3 semanas con un insumo que pesa 30% del costo.</t>
        </is>
      </c>
      <c r="F103" s="6" t="inlineStr">
        <is>
          <t>Insumo alternativo</t>
        </is>
      </c>
      <c r="G103" s="6" t="inlineStr">
        <is>
          <t>Cambias a un insumo más barato por 3 meses y lo informas después.</t>
        </is>
      </c>
      <c r="H103" s="6" t="inlineStr">
        <is>
          <t>Costo ↓</t>
        </is>
      </c>
      <c r="I103" s="6" t="inlineStr">
        <is>
          <t>Costo</t>
        </is>
      </c>
      <c r="J103" s="6" t="inlineStr">
        <is>
          <t>Atajo</t>
        </is>
      </c>
      <c r="K103" s="6" t="inlineStr">
        <is>
          <t>Atajo: el insumo más barato salva el trimestre; en alimentos, cambiar sin avisar abre un reclamo.</t>
        </is>
      </c>
      <c r="L103" s="4" t="n"/>
      <c r="M103" s="4" t="n"/>
      <c r="N103" s="4" t="n"/>
      <c r="O103" s="6" t="inlineStr">
        <is>
          <t>Your only supplier is 3 weeks late on an input that is 30% of cost.</t>
        </is>
      </c>
      <c r="P103" s="6" t="inlineStr">
        <is>
          <t>Alternative input</t>
        </is>
      </c>
      <c r="Q103" s="6" t="inlineStr">
        <is>
          <t>You switch to a cheaper input for 3 months and tell the client afterwards.</t>
        </is>
      </c>
      <c r="R103" s="6" t="inlineStr">
        <is>
          <t>Cost ↓</t>
        </is>
      </c>
      <c r="S103" s="6" t="inlineStr">
        <is>
          <t>Shortcut: the cheaper input saves the quarter; in food, swapping without telling invites a complaint.</t>
        </is>
      </c>
      <c r="T103" s="4" t="n"/>
    </row>
    <row r="104" ht="40.5" customHeight="1">
      <c r="A104" s="6" t="inlineStr">
        <is>
          <t>m07p</t>
        </is>
      </c>
      <c r="B104" s="6" t="inlineStr">
        <is>
          <t>Cualquiera</t>
        </is>
      </c>
      <c r="C104" s="6" t="inlineStr">
        <is>
          <t>PLANTA</t>
        </is>
      </c>
      <c r="D104" s="6" t="inlineStr">
        <is>
          <t>ALIMENTOS</t>
        </is>
      </c>
      <c r="E104" s="6" t="inlineStr">
        <is>
          <t>Tu único proveedor se atrasa 3 semanas con un insumo que pesa 30% del costo.</t>
        </is>
      </c>
      <c r="F104" s="6" t="inlineStr">
        <is>
          <t>Flete urgente</t>
        </is>
      </c>
      <c r="G104" s="6" t="inlineStr">
        <is>
          <t>Traes el insumo en avión a cualquier tarifa y evitas la espera.</t>
        </is>
      </c>
      <c r="H104" s="6" t="inlineStr">
        <is>
          <t>Flete ↑</t>
        </is>
      </c>
      <c r="I104" s="6" t="inlineStr">
        <is>
          <t>Flete</t>
        </is>
      </c>
      <c r="J104" s="6" t="inlineStr">
        <is>
          <t>Ceder</t>
        </is>
      </c>
      <c r="K104" s="6" t="inlineStr">
        <is>
          <t>Cesión: el avión salvó la fecha a cualquier tarifa y el flete se comió el margen de esos pedidos.</t>
        </is>
      </c>
      <c r="L104" s="4" t="n"/>
      <c r="M104" s="4" t="n"/>
      <c r="N104" s="4" t="n"/>
      <c r="O104" s="6" t="inlineStr">
        <is>
          <t>Your only supplier is 3 weeks late on an input that is 30% of cost.</t>
        </is>
      </c>
      <c r="P104" s="6" t="inlineStr">
        <is>
          <t>Urgent freight</t>
        </is>
      </c>
      <c r="Q104" s="6" t="inlineStr">
        <is>
          <t>You fly the input in at any rate and cover the week.</t>
        </is>
      </c>
      <c r="R104" s="6" t="inlineStr">
        <is>
          <t>Freight ↑</t>
        </is>
      </c>
      <c r="S104" s="6" t="inlineStr">
        <is>
          <t>Concession: air freight saved the date at any rate and freight ate the margin of those orders.</t>
        </is>
      </c>
      <c r="T104" s="4" t="n"/>
    </row>
    <row r="105" ht="40.5" customHeight="1">
      <c r="A105" s="6" t="inlineStr">
        <is>
          <t>m07p</t>
        </is>
      </c>
      <c r="B105" s="6" t="inlineStr">
        <is>
          <t>Cualquiera</t>
        </is>
      </c>
      <c r="C105" s="6" t="inlineStr">
        <is>
          <t>PLANTA</t>
        </is>
      </c>
      <c r="D105" s="6" t="inlineStr">
        <is>
          <t>ALIMENTOS</t>
        </is>
      </c>
      <c r="E105" s="6" t="inlineStr">
        <is>
          <t>Tu único proveedor se atrasa 3 semanas con un insumo que pesa 30% del costo.</t>
        </is>
      </c>
      <c r="F105" s="6" t="inlineStr">
        <is>
          <t>Plan único</t>
        </is>
      </c>
      <c r="G105" s="6" t="inlineStr">
        <is>
          <t>Conservas al proveedor único y confías en recuperar el atraso solo.</t>
        </is>
      </c>
      <c r="H105" s="6" t="inlineStr">
        <is>
          <t>Ventas ↓ · Costo ↑</t>
        </is>
      </c>
      <c r="I105" s="6" t="inlineStr">
        <is>
          <t>Ventas</t>
        </is>
      </c>
      <c r="J105" s="6" t="inlineStr">
        <is>
          <t>Pasiva</t>
        </is>
      </c>
      <c r="K105" s="6" t="inlineStr">
        <is>
          <t>Pasividad: confiaste en el proveedor único y la planta paró 3 semanas: los pedidos no salieron.</t>
        </is>
      </c>
      <c r="L105" s="4" t="n"/>
      <c r="M105" s="4" t="n"/>
      <c r="N105" s="4" t="n"/>
      <c r="O105" s="6" t="inlineStr">
        <is>
          <t>Your only supplier is 3 weeks late on an input that is 30% of cost.</t>
        </is>
      </c>
      <c r="P105" s="6" t="inlineStr">
        <is>
          <t>Single plan</t>
        </is>
      </c>
      <c r="Q105" s="6" t="inlineStr">
        <is>
          <t>You stay with the only supplier and trust it to recover the delay.</t>
        </is>
      </c>
      <c r="R105" s="6" t="inlineStr">
        <is>
          <t>Sales ↓ · Cost ↑</t>
        </is>
      </c>
      <c r="S105" s="6" t="inlineStr">
        <is>
          <t>Passivity: you trusted the single supplier and the plant stopped 3 weeks: the orders did not ship.</t>
        </is>
      </c>
      <c r="T105" s="4" t="n"/>
    </row>
    <row r="106" ht="27" customHeight="1">
      <c r="A106" s="6" t="inlineStr">
        <is>
          <t>m07e</t>
        </is>
      </c>
      <c r="B106" s="6" t="inlineStr">
        <is>
          <t>6 a 8</t>
        </is>
      </c>
      <c r="C106" s="6" t="inlineStr">
        <is>
          <t>ENTORNO</t>
        </is>
      </c>
      <c r="D106" s="6" t="inlineStr">
        <is>
          <t>HOSPITALES</t>
        </is>
      </c>
      <c r="E106" s="6" t="inlineStr">
        <is>
          <t>Un temporal de nieve cierra el paso a la cordillera por 7 días.</t>
        </is>
      </c>
      <c r="F106" s="6" t="inlineStr">
        <is>
          <t>Stock en el cliente</t>
        </is>
      </c>
      <c r="G106" s="6" t="inlineStr">
        <is>
          <t>Adelantas stock a la bodega del cliente por 10 días y reprogramas despachos.</t>
        </is>
      </c>
      <c r="H106" s="6" t="inlineStr">
        <is>
          <t>Ventas ↑ · Flete ↓</t>
        </is>
      </c>
      <c r="I106" s="6" t="inlineStr">
        <is>
          <t>Flete</t>
        </is>
      </c>
      <c r="J106" s="6" t="inlineStr">
        <is>
          <t>Equilibrada</t>
        </is>
      </c>
      <c r="K106" s="6" t="inlineStr">
        <is>
          <t>Equilibrada: adelantaste stock a la bodega del hospital y consolidaste despachos: cero quiebres.</t>
        </is>
      </c>
      <c r="L106" s="4" t="n"/>
      <c r="M106" s="4" t="n"/>
      <c r="N106" s="4" t="n"/>
      <c r="O106" s="6" t="inlineStr">
        <is>
          <t>A snowstorm closes the mountain pass for 7 days.</t>
        </is>
      </c>
      <c r="P106" s="6" t="inlineStr">
        <is>
          <t>Stock at the client</t>
        </is>
      </c>
      <c r="Q106" s="6" t="inlineStr">
        <is>
          <t>You move stock to the client's warehouse for 10 days and reschedule trips.</t>
        </is>
      </c>
      <c r="R106" s="6" t="inlineStr">
        <is>
          <t>Sales ↑ · Freight ↓</t>
        </is>
      </c>
      <c r="S106" s="6" t="inlineStr">
        <is>
          <t>Balanced: you pre-stocked the hospital and consolidated shipments: no stockouts, tidy freight.</t>
        </is>
      </c>
      <c r="T106" s="4" t="n"/>
    </row>
    <row r="107" ht="40.5" customHeight="1">
      <c r="A107" s="6" t="inlineStr">
        <is>
          <t>m07e</t>
        </is>
      </c>
      <c r="B107" s="6" t="inlineStr">
        <is>
          <t>6 a 8</t>
        </is>
      </c>
      <c r="C107" s="6" t="inlineStr">
        <is>
          <t>ENTORNO</t>
        </is>
      </c>
      <c r="D107" s="6" t="inlineStr">
        <is>
          <t>HOSPITALES</t>
        </is>
      </c>
      <c r="E107" s="6" t="inlineStr">
        <is>
          <t>Un temporal de nieve cierra el paso a la cordillera por 7 días.</t>
        </is>
      </c>
      <c r="F107" s="6" t="inlineStr">
        <is>
          <t>Ventana de calma</t>
        </is>
      </c>
      <c r="G107" s="6" t="inlineStr">
        <is>
          <t>Envías camiones en la ventana de calma y llegas antes del cierre.</t>
        </is>
      </c>
      <c r="H107" s="6" t="inlineStr">
        <is>
          <t>Ventas ↑ · Flete ↓</t>
        </is>
      </c>
      <c r="I107" s="6" t="inlineStr">
        <is>
          <t>Flete</t>
        </is>
      </c>
      <c r="J107" s="6" t="inlineStr">
        <is>
          <t>Atajo</t>
        </is>
      </c>
      <c r="K107" s="6" t="inlineStr">
        <is>
          <t>Atajo: la ventana de calma te dejó llegar antes del cierre; si falla, el hospital queda sin producto.</t>
        </is>
      </c>
      <c r="L107" s="4" t="n"/>
      <c r="M107" s="4" t="n"/>
      <c r="N107" s="4" t="n"/>
      <c r="O107" s="6" t="inlineStr">
        <is>
          <t>A snowstorm closes the mountain pass for 7 days.</t>
        </is>
      </c>
      <c r="P107" s="6" t="inlineStr">
        <is>
          <t>Calm window</t>
        </is>
      </c>
      <c r="Q107" s="6" t="inlineStr">
        <is>
          <t>You send trucks in the calm window and arrive before the close.</t>
        </is>
      </c>
      <c r="R107" s="6" t="inlineStr">
        <is>
          <t>Sales ↑ · Freight ↓</t>
        </is>
      </c>
      <c r="S107" s="6" t="inlineStr">
        <is>
          <t>Shortcut: the calm window got you in before the closing; if it fails, the hospital is left without product.</t>
        </is>
      </c>
      <c r="T107" s="4" t="n"/>
    </row>
    <row r="108" ht="27" customHeight="1">
      <c r="A108" s="6" t="inlineStr">
        <is>
          <t>m07e</t>
        </is>
      </c>
      <c r="B108" s="6" t="inlineStr">
        <is>
          <t>6 a 8</t>
        </is>
      </c>
      <c r="C108" s="6" t="inlineStr">
        <is>
          <t>ENTORNO</t>
        </is>
      </c>
      <c r="D108" s="6" t="inlineStr">
        <is>
          <t>HOSPITALES</t>
        </is>
      </c>
      <c r="E108" s="6" t="inlineStr">
        <is>
          <t>Un temporal de nieve cierra el paso a la cordillera por 7 días.</t>
        </is>
      </c>
      <c r="F108" s="6" t="inlineStr">
        <is>
          <t>Envío aéreo</t>
        </is>
      </c>
      <c r="G108" s="6" t="inlineStr">
        <is>
          <t>Llevas lo crítico con envíos aéreos para que nada se atrase.</t>
        </is>
      </c>
      <c r="H108" s="6" t="inlineStr">
        <is>
          <t>Flete ↑</t>
        </is>
      </c>
      <c r="I108" s="6" t="inlineStr">
        <is>
          <t>Flete</t>
        </is>
      </c>
      <c r="J108" s="6" t="inlineStr">
        <is>
          <t>Ceder</t>
        </is>
      </c>
      <c r="K108" s="6" t="inlineStr">
        <is>
          <t>Cesión: el envío aéreo cumplió todo, con un flete que ningún precio de esos pedidos recupera.</t>
        </is>
      </c>
      <c r="L108" s="4" t="n"/>
      <c r="M108" s="4" t="n"/>
      <c r="N108" s="4" t="n"/>
      <c r="O108" s="6" t="inlineStr">
        <is>
          <t>A snowstorm closes the mountain pass for 7 days.</t>
        </is>
      </c>
      <c r="P108" s="6" t="inlineStr">
        <is>
          <t>Air shipment</t>
        </is>
      </c>
      <c r="Q108" s="6" t="inlineStr">
        <is>
          <t>You cover the critical items by air so that nothing slips.</t>
        </is>
      </c>
      <c r="R108" s="6" t="inlineStr">
        <is>
          <t>Freight ↑</t>
        </is>
      </c>
      <c r="S108" s="6" t="inlineStr">
        <is>
          <t>Concession: air shipping met every date, at a freight cost no price on those orders recovers.</t>
        </is>
      </c>
      <c r="T108" s="4" t="n"/>
    </row>
    <row r="109" ht="27" customHeight="1">
      <c r="A109" s="6" t="inlineStr">
        <is>
          <t>m07e</t>
        </is>
      </c>
      <c r="B109" s="6" t="inlineStr">
        <is>
          <t>6 a 8</t>
        </is>
      </c>
      <c r="C109" s="6" t="inlineStr">
        <is>
          <t>ENTORNO</t>
        </is>
      </c>
      <c r="D109" s="6" t="inlineStr">
        <is>
          <t>HOSPITALES</t>
        </is>
      </c>
      <c r="E109" s="6" t="inlineStr">
        <is>
          <t>Un temporal de nieve cierra el paso a la cordillera por 7 días.</t>
        </is>
      </c>
      <c r="F109" s="6" t="inlineStr">
        <is>
          <t>Paso bloqueado</t>
        </is>
      </c>
      <c r="G109" s="6" t="inlineStr">
        <is>
          <t>Detienes despachos con el paso bloqueado, 7 días.</t>
        </is>
      </c>
      <c r="H109" s="6" t="inlineStr">
        <is>
          <t>Ventas ↓ · Flete ↓</t>
        </is>
      </c>
      <c r="I109" s="6" t="inlineStr">
        <is>
          <t>Ventas</t>
        </is>
      </c>
      <c r="J109" s="6" t="inlineStr">
        <is>
          <t>Pasiva</t>
        </is>
      </c>
      <c r="K109" s="6" t="inlineStr">
        <is>
          <t>Pasividad: detuviste los despachos 7 días: ahorraste flete, pero esas ventas no salieron.</t>
        </is>
      </c>
      <c r="L109" s="4" t="n"/>
      <c r="M109" s="4" t="n"/>
      <c r="N109" s="4" t="n"/>
      <c r="O109" s="6" t="inlineStr">
        <is>
          <t>A snowstorm closes the mountain pass for 7 days.</t>
        </is>
      </c>
      <c r="P109" s="6" t="inlineStr">
        <is>
          <t>Closed pass</t>
        </is>
      </c>
      <c r="Q109" s="6" t="inlineStr">
        <is>
          <t>You halt shipments with the pass closed, about 7 days.</t>
        </is>
      </c>
      <c r="R109" s="6" t="inlineStr">
        <is>
          <t>Sales ↓ · Freight ↓</t>
        </is>
      </c>
      <c r="S109" s="6" t="inlineStr">
        <is>
          <t>Passivity: you halted shipments for 7 days: you saved freight, but those sales did not ship.</t>
        </is>
      </c>
      <c r="T109" s="4" t="n"/>
    </row>
    <row r="110" ht="40.5" customHeight="1">
      <c r="A110" s="6" t="inlineStr">
        <is>
          <t>m07s</t>
        </is>
      </c>
      <c r="B110" s="6" t="inlineStr">
        <is>
          <t>Cualquiera</t>
        </is>
      </c>
      <c r="C110" s="6" t="inlineStr">
        <is>
          <t>ESTRATEGIA</t>
        </is>
      </c>
      <c r="D110" s="6" t="inlineStr">
        <is>
          <t>HOSPITALES</t>
        </is>
      </c>
      <c r="E110" s="6" t="inlineStr">
        <is>
          <t>Corporativo propone reorganizar el equipo y bajar 10% la dotación.</t>
        </is>
      </c>
      <c r="F110" s="6" t="inlineStr">
        <is>
          <t>Rediseñar roles</t>
        </is>
      </c>
      <c r="G110" s="6" t="inlineStr">
        <is>
          <t>Reasignas funciones y automatizas los procesos antes de bajar 4 cargos.</t>
        </is>
      </c>
      <c r="H110" s="6" t="inlineStr">
        <is>
          <t>SG&amp;A ↓</t>
        </is>
      </c>
      <c r="I110" s="6" t="inlineStr">
        <is>
          <t>SG&amp;A</t>
        </is>
      </c>
      <c r="J110" s="6" t="inlineStr">
        <is>
          <t>Equilibrada</t>
        </is>
      </c>
      <c r="K110" s="6" t="inlineStr">
        <is>
          <t>Equilibrada: rediseñaste roles y automatizaste antes de bajar 4 cargos: menos SG&amp;A sin soltar el servicio.</t>
        </is>
      </c>
      <c r="L110" s="4" t="n"/>
      <c r="M110" s="4" t="n"/>
      <c r="N110" s="4" t="n"/>
      <c r="O110" s="6" t="inlineStr">
        <is>
          <t>Corporate proposes reorganizing the team and cutting headcount 10%.</t>
        </is>
      </c>
      <c r="P110" s="6" t="inlineStr">
        <is>
          <t>Redesign roles</t>
        </is>
      </c>
      <c r="Q110" s="6" t="inlineStr">
        <is>
          <t>You reassign duties and automate processes before cutting 4 posts.</t>
        </is>
      </c>
      <c r="R110" s="6" t="inlineStr">
        <is>
          <t>SG&amp;A ↓</t>
        </is>
      </c>
      <c r="S110" s="6" t="inlineStr">
        <is>
          <t>Balanced: you redesigned roles and automated before cutting 4 positions: less SG&amp;A without dropping service.</t>
        </is>
      </c>
      <c r="T110" s="4" t="n"/>
    </row>
    <row r="111" ht="27" customHeight="1">
      <c r="A111" s="6" t="inlineStr">
        <is>
          <t>m07s</t>
        </is>
      </c>
      <c r="B111" s="6" t="inlineStr">
        <is>
          <t>Cualquiera</t>
        </is>
      </c>
      <c r="C111" s="6" t="inlineStr">
        <is>
          <t>ESTRATEGIA</t>
        </is>
      </c>
      <c r="D111" s="6" t="inlineStr">
        <is>
          <t>HOSPITALES</t>
        </is>
      </c>
      <c r="E111" s="6" t="inlineStr">
        <is>
          <t>Corporativo propone reorganizar el equipo y bajar 10% la dotación.</t>
        </is>
      </c>
      <c r="F111" s="6" t="inlineStr">
        <is>
          <t>Bajar 10% parejo</t>
        </is>
      </c>
      <c r="G111" s="6" t="inlineStr">
        <is>
          <t>Reduces la dotación 10% en cada área para cumplir la meta del trimestre.</t>
        </is>
      </c>
      <c r="H111" s="6" t="inlineStr">
        <is>
          <t>Ventas ↓ · SG&amp;A ↓</t>
        </is>
      </c>
      <c r="I111" s="6" t="inlineStr">
        <is>
          <t>SG&amp;A</t>
        </is>
      </c>
      <c r="J111" s="6" t="inlineStr">
        <is>
          <t>Atajo</t>
        </is>
      </c>
      <c r="K111" s="6" t="inlineStr">
        <is>
          <t>Atajo: el 10% parejo cumple la meta del trimestre, pero también salió gente que atendía clientes.</t>
        </is>
      </c>
      <c r="L111" s="4" t="n"/>
      <c r="M111" s="4" t="n"/>
      <c r="N111" s="4" t="n"/>
      <c r="O111" s="6" t="inlineStr">
        <is>
          <t>Corporate proposes reorganizing the team and cutting headcount 10%.</t>
        </is>
      </c>
      <c r="P111" s="6" t="inlineStr">
        <is>
          <t>Cut 10% evenly</t>
        </is>
      </c>
      <c r="Q111" s="6" t="inlineStr">
        <is>
          <t>You cut headcount 10% in each area to meet the quarter's goal.</t>
        </is>
      </c>
      <c r="R111" s="6" t="inlineStr">
        <is>
          <t>Sales ↓ · SG&amp;A ↓</t>
        </is>
      </c>
      <c r="S111" s="6" t="inlineStr">
        <is>
          <t>Shortcut: the even 10% meets the quarter target, but people who served clients also left.</t>
        </is>
      </c>
      <c r="T111" s="4" t="n"/>
    </row>
    <row r="112" ht="40.5" customHeight="1">
      <c r="A112" s="6" t="inlineStr">
        <is>
          <t>m07s</t>
        </is>
      </c>
      <c r="B112" s="6" t="inlineStr">
        <is>
          <t>Cualquiera</t>
        </is>
      </c>
      <c r="C112" s="6" t="inlineStr">
        <is>
          <t>ESTRATEGIA</t>
        </is>
      </c>
      <c r="D112" s="6" t="inlineStr">
        <is>
          <t>HOSPITALES</t>
        </is>
      </c>
      <c r="E112" s="6" t="inlineStr">
        <is>
          <t>Corporativo propone reorganizar el equipo y bajar 10% la dotación.</t>
        </is>
      </c>
      <c r="F112" s="6" t="inlineStr">
        <is>
          <t>Mantener equipo</t>
        </is>
      </c>
      <c r="G112" s="6" t="inlineStr">
        <is>
          <t>Conservas la dotación con la promesa de mejorar la productividad en 6 meses.</t>
        </is>
      </c>
      <c r="H112" s="6" t="inlineStr">
        <is>
          <t>SG&amp;A ↑</t>
        </is>
      </c>
      <c r="I112" s="6" t="inlineStr">
        <is>
          <t>SG&amp;A</t>
        </is>
      </c>
      <c r="J112" s="6" t="inlineStr">
        <is>
          <t>Ceder</t>
        </is>
      </c>
      <c r="K112" s="6" t="inlineStr">
        <is>
          <t>Cesión: mantuviste al equipo con la promesa de ganar productividad; el SG&amp;A sigue igual y se nota.</t>
        </is>
      </c>
      <c r="L112" s="4" t="n"/>
      <c r="M112" s="4" t="n"/>
      <c r="N112" s="4" t="n"/>
      <c r="O112" s="6" t="inlineStr">
        <is>
          <t>Corporate proposes reorganizing the team and cutting headcount 10%.</t>
        </is>
      </c>
      <c r="P112" s="6" t="inlineStr">
        <is>
          <t>Keep the team</t>
        </is>
      </c>
      <c r="Q112" s="6" t="inlineStr">
        <is>
          <t>You keep headcount with a promise to improve productivity in 6 months.</t>
        </is>
      </c>
      <c r="R112" s="6" t="inlineStr">
        <is>
          <t>SG&amp;A ↑</t>
        </is>
      </c>
      <c r="S112" s="6" t="inlineStr">
        <is>
          <t>Concession: you kept the team on a promise of better productivity; the SG&amp;A stays the same, and it shows.</t>
        </is>
      </c>
      <c r="T112" s="4" t="n"/>
    </row>
    <row r="113" ht="40.5" customHeight="1">
      <c r="A113" s="6" t="inlineStr">
        <is>
          <t>m07s</t>
        </is>
      </c>
      <c r="B113" s="6" t="inlineStr">
        <is>
          <t>Cualquiera</t>
        </is>
      </c>
      <c r="C113" s="6" t="inlineStr">
        <is>
          <t>ESTRATEGIA</t>
        </is>
      </c>
      <c r="D113" s="6" t="inlineStr">
        <is>
          <t>HOSPITALES</t>
        </is>
      </c>
      <c r="E113" s="6" t="inlineStr">
        <is>
          <t>Corporativo propone reorganizar el equipo y bajar 10% la dotación.</t>
        </is>
      </c>
      <c r="F113" s="6" t="inlineStr">
        <is>
          <t>Aplazar el tema</t>
        </is>
      </c>
      <c r="G113" s="6" t="inlineStr">
        <is>
          <t>Aplazas la reorganización y la retomas en el segundo semestre.</t>
        </is>
      </c>
      <c r="H113" s="6" t="inlineStr">
        <is>
          <t>SG&amp;A ↑</t>
        </is>
      </c>
      <c r="I113" s="6" t="inlineStr">
        <is>
          <t>SG&amp;A</t>
        </is>
      </c>
      <c r="J113" s="6" t="inlineStr">
        <is>
          <t>Pasiva</t>
        </is>
      </c>
      <c r="K113" s="6" t="inlineStr">
        <is>
          <t>Pasividad: aplazaste la reorganización al segundo semestre y el SG&amp;A siguió corriendo mientras tanto.</t>
        </is>
      </c>
      <c r="L113" s="4" t="n"/>
      <c r="M113" s="4" t="n"/>
      <c r="N113" s="4" t="n"/>
      <c r="O113" s="6" t="inlineStr">
        <is>
          <t>Corporate proposes reorganizing the team and cutting headcount 10%.</t>
        </is>
      </c>
      <c r="P113" s="6" t="inlineStr">
        <is>
          <t>Defer the topic</t>
        </is>
      </c>
      <c r="Q113" s="6" t="inlineStr">
        <is>
          <t>You defer the reorganization and pick it up in the second half.</t>
        </is>
      </c>
      <c r="R113" s="6" t="inlineStr">
        <is>
          <t>SG&amp;A ↑</t>
        </is>
      </c>
      <c r="S113" s="6" t="inlineStr">
        <is>
          <t>Passivity: you pushed the reorganization to the second half and the SG&amp;A kept running in the meantime.</t>
        </is>
      </c>
      <c r="T113" s="4" t="n"/>
    </row>
    <row r="114" ht="27" customHeight="1">
      <c r="A114" s="6" t="inlineStr">
        <is>
          <t>m08c</t>
        </is>
      </c>
      <c r="B114" s="6" t="inlineStr">
        <is>
          <t>Cualquiera</t>
        </is>
      </c>
      <c r="C114" s="6" t="inlineStr">
        <is>
          <t>CLIENTE</t>
        </is>
      </c>
      <c r="D114" s="6" t="inlineStr">
        <is>
          <t>HOSPITALES</t>
        </is>
      </c>
      <c r="E114" s="6" t="inlineStr">
        <is>
          <t>El nuevo jefe de compras de un cliente (16% de ventas) quiere licitar.</t>
        </is>
      </c>
      <c r="F114" s="6" t="inlineStr">
        <is>
          <t>Reunión de valor</t>
        </is>
      </c>
      <c r="G114" s="6" t="inlineStr">
        <is>
          <t>Presentas resultados medidos para proponer un rebate escalonado a 2 años.</t>
        </is>
      </c>
      <c r="H114" s="6" t="inlineStr">
        <is>
          <t>volumen +0,8%, precio -0,1%</t>
        </is>
      </c>
      <c r="I114" s="6" t="inlineStr">
        <is>
          <t>Incentivos</t>
        </is>
      </c>
      <c r="J114" s="6" t="inlineStr">
        <is>
          <t>Equilibrada</t>
        </is>
      </c>
      <c r="K114" s="6" t="inlineStr">
        <is>
          <t>Equilibrada: llevaste resultados medidos y un rebate escalonado a 2 años: el comprador ve valor.</t>
        </is>
      </c>
      <c r="L114" s="4" t="n"/>
      <c r="M114" s="4" t="n"/>
      <c r="N114" s="4" t="n"/>
      <c r="O114" s="6" t="inlineStr">
        <is>
          <t>A client's new procurement head (16% of sales) wants to tender.</t>
        </is>
      </c>
      <c r="P114" s="6" t="inlineStr">
        <is>
          <t>Value meeting</t>
        </is>
      </c>
      <c r="Q114" s="6" t="inlineStr">
        <is>
          <t>You present measured results and offer a tiered rebate over 2 years.</t>
        </is>
      </c>
      <c r="R114" s="6" t="inlineStr">
        <is>
          <t>volume +0.8%, price -0.1%</t>
        </is>
      </c>
      <c r="S114" s="6" t="inlineStr">
        <is>
          <t>Balanced: you brought measured results and a tiered 2-year rebate: the buyer sees value.</t>
        </is>
      </c>
      <c r="T114" s="4" t="n"/>
    </row>
    <row r="115" ht="40.5" customHeight="1">
      <c r="A115" s="6" t="inlineStr">
        <is>
          <t>m08c</t>
        </is>
      </c>
      <c r="B115" s="6" t="inlineStr">
        <is>
          <t>Cualquiera</t>
        </is>
      </c>
      <c r="C115" s="6" t="inlineStr">
        <is>
          <t>CLIENTE</t>
        </is>
      </c>
      <c r="D115" s="6" t="inlineStr">
        <is>
          <t>HOSPITALES</t>
        </is>
      </c>
      <c r="E115" s="6" t="inlineStr">
        <is>
          <t>El nuevo jefe de compras de un cliente (16% de ventas) quiere licitar.</t>
        </is>
      </c>
      <c r="F115" s="6" t="inlineStr">
        <is>
          <t>Precio base bajo</t>
        </is>
      </c>
      <c r="G115" s="6" t="inlineStr">
        <is>
          <t>Entras con un precio base 6% menor y cobras los servicios aparte.</t>
        </is>
      </c>
      <c r="H115" s="6" t="inlineStr">
        <is>
          <t>volumen +3,0%, precio +0,2%</t>
        </is>
      </c>
      <c r="I115" s="6" t="inlineStr">
        <is>
          <t>Ventas</t>
        </is>
      </c>
      <c r="J115" s="6" t="inlineStr">
        <is>
          <t>Atajo</t>
        </is>
      </c>
      <c r="K115" s="6" t="inlineStr">
        <is>
          <t>Atajo: entraste con un precio base 6% menor y cobraste los servicios aparte; la factura final sorprende.</t>
        </is>
      </c>
      <c r="L115" s="4" t="n"/>
      <c r="M115" s="4" t="n"/>
      <c r="N115" s="4" t="n"/>
      <c r="O115" s="6" t="inlineStr">
        <is>
          <t>A client's new procurement head (16% of sales) wants to tender.</t>
        </is>
      </c>
      <c r="P115" s="6" t="inlineStr">
        <is>
          <t>Low base price</t>
        </is>
      </c>
      <c r="Q115" s="6" t="inlineStr">
        <is>
          <t>You enter with a base price 6% lower and charge services apart.</t>
        </is>
      </c>
      <c r="R115" s="6" t="inlineStr">
        <is>
          <t>volume +3.0%, price +0.2%</t>
        </is>
      </c>
      <c r="S115" s="6" t="inlineStr">
        <is>
          <t>Shortcut: you came in with a base price 6% lower and charged services apart; the final bill surprises.</t>
        </is>
      </c>
      <c r="T115" s="4" t="n"/>
    </row>
    <row r="116" ht="40.5" customHeight="1">
      <c r="A116" s="6" t="inlineStr">
        <is>
          <t>m08c</t>
        </is>
      </c>
      <c r="B116" s="6" t="inlineStr">
        <is>
          <t>Cualquiera</t>
        </is>
      </c>
      <c r="C116" s="6" t="inlineStr">
        <is>
          <t>CLIENTE</t>
        </is>
      </c>
      <c r="D116" s="6" t="inlineStr">
        <is>
          <t>HOSPITALES</t>
        </is>
      </c>
      <c r="E116" s="6" t="inlineStr">
        <is>
          <t>El nuevo jefe de compras de un cliente (16% de ventas) quiere licitar.</t>
        </is>
      </c>
      <c r="F116" s="6" t="inlineStr">
        <is>
          <t>Licitar al mínimo</t>
        </is>
      </c>
      <c r="G116" s="6" t="inlineStr">
        <is>
          <t>Ofreces el precio más bajo posible por contratos de 3 años.</t>
        </is>
      </c>
      <c r="H116" s="6" t="inlineStr">
        <is>
          <t>volumen +9,0%, precio -3,0%</t>
        </is>
      </c>
      <c r="I116" s="6" t="inlineStr">
        <is>
          <t>Ventas</t>
        </is>
      </c>
      <c r="J116" s="6" t="inlineStr">
        <is>
          <t>Ceder</t>
        </is>
      </c>
      <c r="K116" s="6" t="inlineStr">
        <is>
          <t>Cesión: ofreciste el precio más bajo en contratos de 3 años: ganas el contrato con margen mínimo.</t>
        </is>
      </c>
      <c r="L116" s="4" t="n"/>
      <c r="M116" s="4" t="n"/>
      <c r="N116" s="4" t="n"/>
      <c r="O116" s="6" t="inlineStr">
        <is>
          <t>A client's new procurement head (16% of sales) wants to tender.</t>
        </is>
      </c>
      <c r="P116" s="6" t="inlineStr">
        <is>
          <t>Bid the minimum</t>
        </is>
      </c>
      <c r="Q116" s="6" t="inlineStr">
        <is>
          <t>You offer the lowest price possible on 3-year contracts.</t>
        </is>
      </c>
      <c r="R116" s="6" t="inlineStr">
        <is>
          <t>volume +9.0%, price -3.0%</t>
        </is>
      </c>
      <c r="S116" s="6" t="inlineStr">
        <is>
          <t>Concession: you offered the lowest price on 3-year contracts: you win the contract at minimum margin.</t>
        </is>
      </c>
      <c r="T116" s="4" t="n"/>
    </row>
    <row r="117" ht="40.5" customHeight="1">
      <c r="A117" s="6" t="inlineStr">
        <is>
          <t>m08c</t>
        </is>
      </c>
      <c r="B117" s="6" t="inlineStr">
        <is>
          <t>Cualquiera</t>
        </is>
      </c>
      <c r="C117" s="6" t="inlineStr">
        <is>
          <t>CLIENTE</t>
        </is>
      </c>
      <c r="D117" s="6" t="inlineStr">
        <is>
          <t>HOSPITALES</t>
        </is>
      </c>
      <c r="E117" s="6" t="inlineStr">
        <is>
          <t>El nuevo jefe de compras de un cliente (16% de ventas) quiere licitar.</t>
        </is>
      </c>
      <c r="F117" s="6" t="inlineStr">
        <is>
          <t>Invitación formal</t>
        </is>
      </c>
      <c r="G117" s="6" t="inlineStr">
        <is>
          <t>Recibes la invitación formal y preparas tu cotización en 10 días.</t>
        </is>
      </c>
      <c r="H117" s="6" t="inlineStr">
        <is>
          <t>volumen -3,0%</t>
        </is>
      </c>
      <c r="I117" s="6" t="inlineStr">
        <is>
          <t>Ventas</t>
        </is>
      </c>
      <c r="J117" s="6" t="inlineStr">
        <is>
          <t>Pasiva</t>
        </is>
      </c>
      <c r="K117" s="6" t="inlineStr">
        <is>
          <t>Pasividad: esperaste la invitación formal y cotizaste en 10 días; el comprador ya manejaba otros precios.</t>
        </is>
      </c>
      <c r="L117" s="4" t="n"/>
      <c r="M117" s="4" t="n"/>
      <c r="N117" s="4" t="n"/>
      <c r="O117" s="6" t="inlineStr">
        <is>
          <t>A client's new procurement head (16% of sales) wants to tender.</t>
        </is>
      </c>
      <c r="P117" s="6" t="inlineStr">
        <is>
          <t>Formal invitation</t>
        </is>
      </c>
      <c r="Q117" s="6" t="inlineStr">
        <is>
          <t>You await the formal invitation and prepare the offer in 10 days.</t>
        </is>
      </c>
      <c r="R117" s="6" t="inlineStr">
        <is>
          <t>volume -3.0%</t>
        </is>
      </c>
      <c r="S117" s="6" t="inlineStr">
        <is>
          <t>Passivity: you waited for the formal invitation and quoted in 10 days; the buyer already had other prices.</t>
        </is>
      </c>
      <c r="T117" s="4" t="n"/>
    </row>
    <row r="118" ht="27" customHeight="1">
      <c r="A118" s="6" t="inlineStr">
        <is>
          <t>m08p</t>
        </is>
      </c>
      <c r="B118" s="6" t="inlineStr">
        <is>
          <t>Cualquiera</t>
        </is>
      </c>
      <c r="C118" s="6" t="inlineStr">
        <is>
          <t>PLANTA</t>
        </is>
      </c>
      <c r="D118" s="6" t="inlineStr">
        <is>
          <t>HOTELES</t>
        </is>
      </c>
      <c r="E118" s="6" t="inlineStr">
        <is>
          <t>La demanda supera 12% la capacidad de la planta por 3 meses.</t>
        </is>
      </c>
      <c r="F118" s="6" t="inlineStr">
        <is>
          <t>Turno adicional</t>
        </is>
      </c>
      <c r="G118" s="6" t="inlineStr">
        <is>
          <t>Agregas un turno planificado y mantienes la prioridad por margen en producción.</t>
        </is>
      </c>
      <c r="H118" s="6" t="inlineStr">
        <is>
          <t>Ventas ↑ · Costo ↑</t>
        </is>
      </c>
      <c r="I118" s="6" t="inlineStr">
        <is>
          <t>Ventas</t>
        </is>
      </c>
      <c r="J118" s="6" t="inlineStr">
        <is>
          <t>Equilibrada</t>
        </is>
      </c>
      <c r="K118" s="6" t="inlineStr">
        <is>
          <t>Equilibrada: sumaste un turno planificado y priorizaste por margen: la planta rinde sin romperse.</t>
        </is>
      </c>
      <c r="L118" s="4" t="n"/>
      <c r="M118" s="4" t="n"/>
      <c r="N118" s="4" t="n"/>
      <c r="O118" s="6" t="inlineStr">
        <is>
          <t>Demand exceeds plant capacity by 12% for 3 months.</t>
        </is>
      </c>
      <c r="P118" s="6" t="inlineStr">
        <is>
          <t>Extra shift</t>
        </is>
      </c>
      <c r="Q118" s="6" t="inlineStr">
        <is>
          <t>You add a planned shift and keep the priority by margin in production.</t>
        </is>
      </c>
      <c r="R118" s="6" t="inlineStr">
        <is>
          <t>Sales ↑ · Cost ↑</t>
        </is>
      </c>
      <c r="S118" s="6" t="inlineStr">
        <is>
          <t>Balanced: you added a planned shift and prioritized by margin: the plant performs without breaking.</t>
        </is>
      </c>
      <c r="T118" s="4" t="n"/>
    </row>
    <row r="119" ht="40.5" customHeight="1">
      <c r="A119" s="6" t="inlineStr">
        <is>
          <t>m08p</t>
        </is>
      </c>
      <c r="B119" s="6" t="inlineStr">
        <is>
          <t>Cualquiera</t>
        </is>
      </c>
      <c r="C119" s="6" t="inlineStr">
        <is>
          <t>PLANTA</t>
        </is>
      </c>
      <c r="D119" s="6" t="inlineStr">
        <is>
          <t>HOTELES</t>
        </is>
      </c>
      <c r="E119" s="6" t="inlineStr">
        <is>
          <t>La demanda supera 12% la capacidad de la planta por 3 meses.</t>
        </is>
      </c>
      <c r="F119" s="6" t="inlineStr">
        <is>
          <t>Planta sin pausa</t>
        </is>
      </c>
      <c r="G119" s="6" t="inlineStr">
        <is>
          <t>Operas la línea 24 horas por 3 meses y postergas las mantenciones.</t>
        </is>
      </c>
      <c r="H119" s="6" t="inlineStr">
        <is>
          <t>Ventas ↑ · Costo ↓</t>
        </is>
      </c>
      <c r="I119" s="6" t="inlineStr">
        <is>
          <t>Costo</t>
        </is>
      </c>
      <c r="J119" s="6" t="inlineStr">
        <is>
          <t>Atajo</t>
        </is>
      </c>
      <c r="K119" s="6" t="inlineStr">
        <is>
          <t>Atajo: la planta sin pausa cubre la demanda, pero postergar mantenciones puede salir muy caro después.</t>
        </is>
      </c>
      <c r="L119" s="4" t="n"/>
      <c r="M119" s="4" t="n"/>
      <c r="N119" s="4" t="n"/>
      <c r="O119" s="6" t="inlineStr">
        <is>
          <t>Demand exceeds plant capacity by 12% for 3 months.</t>
        </is>
      </c>
      <c r="P119" s="6" t="inlineStr">
        <is>
          <t>Plant nonstop</t>
        </is>
      </c>
      <c r="Q119" s="6" t="inlineStr">
        <is>
          <t>You run the line 24 hours for 3 months and postpone maintenance.</t>
        </is>
      </c>
      <c r="R119" s="6" t="inlineStr">
        <is>
          <t>Sales ↑ · Cost ↓</t>
        </is>
      </c>
      <c r="S119" s="6" t="inlineStr">
        <is>
          <t>Shortcut: running the plant nonstop covers demand, but skipping maintenance can cost a lot later.</t>
        </is>
      </c>
      <c r="T119" s="4" t="n"/>
    </row>
    <row r="120" ht="27" customHeight="1">
      <c r="A120" s="6" t="inlineStr">
        <is>
          <t>m08p</t>
        </is>
      </c>
      <c r="B120" s="6" t="inlineStr">
        <is>
          <t>Cualquiera</t>
        </is>
      </c>
      <c r="C120" s="6" t="inlineStr">
        <is>
          <t>PLANTA</t>
        </is>
      </c>
      <c r="D120" s="6" t="inlineStr">
        <is>
          <t>HOTELES</t>
        </is>
      </c>
      <c r="E120" s="6" t="inlineStr">
        <is>
          <t>La demanda supera 12% la capacidad de la planta por 3 meses.</t>
        </is>
      </c>
      <c r="F120" s="6" t="inlineStr">
        <is>
          <t>Tomar los pedidos</t>
        </is>
      </c>
      <c r="G120" s="6" t="inlineStr">
        <is>
          <t>Tomas los pedidos de los 3 meses y negocias los plazos después.</t>
        </is>
      </c>
      <c r="H120" s="6" t="inlineStr">
        <is>
          <t>Costo ↑</t>
        </is>
      </c>
      <c r="I120" s="6" t="inlineStr">
        <is>
          <t>Costo</t>
        </is>
      </c>
      <c r="J120" s="6" t="inlineStr">
        <is>
          <t>Ceder</t>
        </is>
      </c>
      <c r="K120" s="6" t="inlineStr">
        <is>
          <t>Cesión: tomaste todos los pedidos y negociaste plazos después; atrasos y horas extra suben el costo.</t>
        </is>
      </c>
      <c r="L120" s="4" t="n"/>
      <c r="M120" s="4" t="n"/>
      <c r="N120" s="4" t="n"/>
      <c r="O120" s="6" t="inlineStr">
        <is>
          <t>Demand exceeds plant capacity by 12% for 3 months.</t>
        </is>
      </c>
      <c r="P120" s="6" t="inlineStr">
        <is>
          <t>Take the orders</t>
        </is>
      </c>
      <c r="Q120" s="6" t="inlineStr">
        <is>
          <t>You take the orders of the 3 months and settle lead times with them afterwards.</t>
        </is>
      </c>
      <c r="R120" s="6" t="inlineStr">
        <is>
          <t>Cost ↑</t>
        </is>
      </c>
      <c r="S120" s="6" t="inlineStr">
        <is>
          <t>Concession: you took every order and negotiated deadlines later; delays and overtime raise the cost.</t>
        </is>
      </c>
      <c r="T120" s="4" t="n"/>
    </row>
    <row r="121" ht="27" customHeight="1">
      <c r="A121" s="6" t="inlineStr">
        <is>
          <t>m08p</t>
        </is>
      </c>
      <c r="B121" s="6" t="inlineStr">
        <is>
          <t>Cualquiera</t>
        </is>
      </c>
      <c r="C121" s="6" t="inlineStr">
        <is>
          <t>PLANTA</t>
        </is>
      </c>
      <c r="D121" s="6" t="inlineStr">
        <is>
          <t>HOTELES</t>
        </is>
      </c>
      <c r="E121" s="6" t="inlineStr">
        <is>
          <t>La demanda supera 12% la capacidad de la planta por 3 meses.</t>
        </is>
      </c>
      <c r="F121" s="6" t="inlineStr">
        <is>
          <t>Mantener la rutina</t>
        </is>
      </c>
      <c r="G121" s="6" t="inlineStr">
        <is>
          <t>Operas con el plan vigente y la demanda se ordena sola.</t>
        </is>
      </c>
      <c r="H121" s="6" t="inlineStr">
        <is>
          <t>Ventas ↓</t>
        </is>
      </c>
      <c r="I121" s="6" t="inlineStr">
        <is>
          <t>Ventas</t>
        </is>
      </c>
      <c r="J121" s="6" t="inlineStr">
        <is>
          <t>Pasiva</t>
        </is>
      </c>
      <c r="K121" s="6" t="inlineStr">
        <is>
          <t>Pasividad: seguiste con el plan vigente y la demanda no se ordenó sola: se perdieron pedidos.</t>
        </is>
      </c>
      <c r="L121" s="4" t="n"/>
      <c r="M121" s="4" t="n"/>
      <c r="N121" s="4" t="n"/>
      <c r="O121" s="6" t="inlineStr">
        <is>
          <t>Demand exceeds plant capacity by 12% for 3 months.</t>
        </is>
      </c>
      <c r="P121" s="6" t="inlineStr">
        <is>
          <t>Keep the routine</t>
        </is>
      </c>
      <c r="Q121" s="6" t="inlineStr">
        <is>
          <t>You run the standing plan and demand sorts itself out.</t>
        </is>
      </c>
      <c r="R121" s="6" t="inlineStr">
        <is>
          <t>Sales ↓</t>
        </is>
      </c>
      <c r="S121" s="6" t="inlineStr">
        <is>
          <t>Passivity: you kept the current plan and demand did not sort itself out: orders were lost.</t>
        </is>
      </c>
      <c r="T121" s="4" t="n"/>
    </row>
    <row r="122" ht="40.5" customHeight="1">
      <c r="A122" s="6" t="inlineStr">
        <is>
          <t>m08e</t>
        </is>
      </c>
      <c r="B122" s="6" t="inlineStr">
        <is>
          <t>Cualquiera</t>
        </is>
      </c>
      <c r="C122" s="6" t="inlineStr">
        <is>
          <t>ENTORNO</t>
        </is>
      </c>
      <c r="D122" s="6" t="inlineStr">
        <is>
          <t>ALIMENTOS</t>
        </is>
      </c>
      <c r="E122" s="6" t="inlineStr">
        <is>
          <t>El dólar sube 10% y tu costo de insumos importados también.</t>
        </is>
      </c>
      <c r="F122" s="6" t="inlineStr">
        <is>
          <t>Traspaso gradual</t>
        </is>
      </c>
      <c r="G122" s="6" t="inlineStr">
        <is>
          <t>Subes por etapas la mitad del alza en los precios con aviso de 30 días.</t>
        </is>
      </c>
      <c r="H122" s="6" t="inlineStr">
        <is>
          <t>Ventas ↑ · Costo ↑</t>
        </is>
      </c>
      <c r="I122" s="6" t="inlineStr">
        <is>
          <t>Ventas</t>
        </is>
      </c>
      <c r="J122" s="6" t="inlineStr">
        <is>
          <t>Equilibrada</t>
        </is>
      </c>
      <c r="K122" s="6" t="inlineStr">
        <is>
          <t>Equilibrada: traspasaste la mitad del alza por etapas, con aviso de 30 días; los clientes lo aceptan.</t>
        </is>
      </c>
      <c r="L122" s="4" t="n"/>
      <c r="M122" s="4" t="n"/>
      <c r="N122" s="4" t="n"/>
      <c r="O122" s="6" t="inlineStr">
        <is>
          <t>The dollar rises 10% and so does your imported input cost.</t>
        </is>
      </c>
      <c r="P122" s="6" t="inlineStr">
        <is>
          <t>Phased pass-through</t>
        </is>
      </c>
      <c r="Q122" s="6" t="inlineStr">
        <is>
          <t>You pass half of the rise into prices in stages, giving 30 days' notice.</t>
        </is>
      </c>
      <c r="R122" s="6" t="inlineStr">
        <is>
          <t>Sales ↑ · Cost ↑</t>
        </is>
      </c>
      <c r="S122" s="6" t="inlineStr">
        <is>
          <t>Balanced: you passed half of the rise through in steps, with 30 days notice; clients accept it.</t>
        </is>
      </c>
      <c r="T122" s="4" t="n"/>
    </row>
    <row r="123" ht="27" customHeight="1">
      <c r="A123" s="6" t="inlineStr">
        <is>
          <t>m08e</t>
        </is>
      </c>
      <c r="B123" s="6" t="inlineStr">
        <is>
          <t>Cualquiera</t>
        </is>
      </c>
      <c r="C123" s="6" t="inlineStr">
        <is>
          <t>ENTORNO</t>
        </is>
      </c>
      <c r="D123" s="6" t="inlineStr">
        <is>
          <t>ALIMENTOS</t>
        </is>
      </c>
      <c r="E123" s="6" t="inlineStr">
        <is>
          <t>El dólar sube 10% y tu costo de insumos importados también.</t>
        </is>
      </c>
      <c r="F123" s="6" t="inlineStr">
        <is>
          <t>Alza inmediata</t>
        </is>
      </c>
      <c r="G123" s="6" t="inlineStr">
        <is>
          <t>Reajustas los precios 10% de una vez y compensas el alza del mes.</t>
        </is>
      </c>
      <c r="H123" s="6" t="inlineStr">
        <is>
          <t>Ventas ↑</t>
        </is>
      </c>
      <c r="I123" s="6" t="inlineStr">
        <is>
          <t>Ventas</t>
        </is>
      </c>
      <c r="J123" s="6" t="inlineStr">
        <is>
          <t>Atajo</t>
        </is>
      </c>
      <c r="K123" s="6" t="inlineStr">
        <is>
          <t>Atajo: reajustaste 10% de una vez: el mes mejora, pero varios clientes empiezan a cotizar afuera.</t>
        </is>
      </c>
      <c r="L123" s="4" t="n"/>
      <c r="M123" s="4" t="n"/>
      <c r="N123" s="4" t="n"/>
      <c r="O123" s="6" t="inlineStr">
        <is>
          <t>The dollar rises 10% and so does your imported input cost.</t>
        </is>
      </c>
      <c r="P123" s="6" t="inlineStr">
        <is>
          <t>One-step increase</t>
        </is>
      </c>
      <c r="Q123" s="6" t="inlineStr">
        <is>
          <t>You adjust prices 10% at once and make up the month's rise.</t>
        </is>
      </c>
      <c r="R123" s="6" t="inlineStr">
        <is>
          <t>Sales ↑</t>
        </is>
      </c>
      <c r="S123" s="6" t="inlineStr">
        <is>
          <t>Shortcut: you repriced 10% at once: the month improves, but several clients start quoting elsewhere.</t>
        </is>
      </c>
      <c r="T123" s="4" t="n"/>
    </row>
    <row r="124" ht="27" customHeight="1">
      <c r="A124" s="6" t="inlineStr">
        <is>
          <t>m08e</t>
        </is>
      </c>
      <c r="B124" s="6" t="inlineStr">
        <is>
          <t>Cualquiera</t>
        </is>
      </c>
      <c r="C124" s="6" t="inlineStr">
        <is>
          <t>ENTORNO</t>
        </is>
      </c>
      <c r="D124" s="6" t="inlineStr">
        <is>
          <t>ALIMENTOS</t>
        </is>
      </c>
      <c r="E124" s="6" t="inlineStr">
        <is>
          <t>El dólar sube 10% y tu costo de insumos importados también.</t>
        </is>
      </c>
      <c r="F124" s="6" t="inlineStr">
        <is>
          <t>Absorber el alza</t>
        </is>
      </c>
      <c r="G124" s="6" t="inlineStr">
        <is>
          <t>Dejas los precios igual para cuidar a los clientes y el margen paga 10%.</t>
        </is>
      </c>
      <c r="H124" s="6" t="inlineStr">
        <is>
          <t>Ventas ↓</t>
        </is>
      </c>
      <c r="I124" s="6" t="inlineStr">
        <is>
          <t>Ventas</t>
        </is>
      </c>
      <c r="J124" s="6" t="inlineStr">
        <is>
          <t>Ceder</t>
        </is>
      </c>
      <c r="K124" s="6" t="inlineStr">
        <is>
          <t>Cesión: dejaste los precios igual para cuidar a los clientes y el margen pagó el 10% completo.</t>
        </is>
      </c>
      <c r="L124" s="4" t="n"/>
      <c r="M124" s="4" t="n"/>
      <c r="N124" s="4" t="n"/>
      <c r="O124" s="6" t="inlineStr">
        <is>
          <t>The dollar rises 10% and so does your imported input cost.</t>
        </is>
      </c>
      <c r="P124" s="6" t="inlineStr">
        <is>
          <t>Absorb the rise</t>
        </is>
      </c>
      <c r="Q124" s="6" t="inlineStr">
        <is>
          <t>You leave prices as they are to protect clients and the margin pays 10%.</t>
        </is>
      </c>
      <c r="R124" s="6" t="inlineStr">
        <is>
          <t>Sales ↓</t>
        </is>
      </c>
      <c r="S124" s="6" t="inlineStr">
        <is>
          <t>Concession: you left prices alone to look after clients and the margin paid the whole 10%.</t>
        </is>
      </c>
      <c r="T124" s="4" t="n"/>
    </row>
    <row r="125" ht="27" customHeight="1">
      <c r="A125" s="6" t="inlineStr">
        <is>
          <t>m08e</t>
        </is>
      </c>
      <c r="B125" s="6" t="inlineStr">
        <is>
          <t>Cualquiera</t>
        </is>
      </c>
      <c r="C125" s="6" t="inlineStr">
        <is>
          <t>ENTORNO</t>
        </is>
      </c>
      <c r="D125" s="6" t="inlineStr">
        <is>
          <t>ALIMENTOS</t>
        </is>
      </c>
      <c r="E125" s="6" t="inlineStr">
        <is>
          <t>El dólar sube 10% y tu costo de insumos importados también.</t>
        </is>
      </c>
      <c r="F125" s="6" t="inlineStr">
        <is>
          <t>Mirar el dólar</t>
        </is>
      </c>
      <c r="G125" s="6" t="inlineStr">
        <is>
          <t>Usas la lista de precios actual y evalúas el dólar cada 30 días.</t>
        </is>
      </c>
      <c r="H125" s="6" t="inlineStr">
        <is>
          <t>Costo ↑</t>
        </is>
      </c>
      <c r="I125" s="6" t="inlineStr">
        <is>
          <t>Costo</t>
        </is>
      </c>
      <c r="J125" s="6" t="inlineStr">
        <is>
          <t>Pasiva</t>
        </is>
      </c>
      <c r="K125" s="6" t="inlineStr">
        <is>
          <t>Pasividad: miraste el dólar cada 30 días con la lista vieja: el costo subió y el margen se erosionó.</t>
        </is>
      </c>
      <c r="L125" s="4" t="n"/>
      <c r="M125" s="4" t="n"/>
      <c r="N125" s="4" t="n"/>
      <c r="O125" s="6" t="inlineStr">
        <is>
          <t>The dollar rises 10% and so does your imported input cost.</t>
        </is>
      </c>
      <c r="P125" s="6" t="inlineStr">
        <is>
          <t>Track the dollar</t>
        </is>
      </c>
      <c r="Q125" s="6" t="inlineStr">
        <is>
          <t>You use the price list as is and assess the dollar every 30 days.</t>
        </is>
      </c>
      <c r="R125" s="6" t="inlineStr">
        <is>
          <t>Cost ↑</t>
        </is>
      </c>
      <c r="S125" s="6" t="inlineStr">
        <is>
          <t>Passivity: you watched the dollar every 30 days with the old list: cost rose and margin eroded.</t>
        </is>
      </c>
      <c r="T125" s="4" t="n"/>
    </row>
    <row r="126" ht="27" customHeight="1">
      <c r="A126" s="6" t="inlineStr">
        <is>
          <t>m08s</t>
        </is>
      </c>
      <c r="B126" s="6" t="inlineStr">
        <is>
          <t>Cualquiera</t>
        </is>
      </c>
      <c r="C126" s="6" t="inlineStr">
        <is>
          <t>ESTRATEGIA</t>
        </is>
      </c>
      <c r="D126" s="6" t="inlineStr">
        <is>
          <t>HOTELES</t>
        </is>
      </c>
      <c r="E126" s="6" t="inlineStr">
        <is>
          <t>Un distribuidor atendería a tus clientes pequeños por 8% de comisión.</t>
        </is>
      </c>
      <c r="F126" s="6" t="inlineStr">
        <is>
          <t>Piloto de 6 meses</t>
        </is>
      </c>
      <c r="G126" s="6" t="inlineStr">
        <is>
          <t>Pruebas con 10 clientes pequeños y comparas el servicio y el margen.</t>
        </is>
      </c>
      <c r="H126" s="6" t="inlineStr">
        <is>
          <t>Incentivos ↑ · SG&amp;A ↓</t>
        </is>
      </c>
      <c r="I126" s="6" t="inlineStr">
        <is>
          <t>SG&amp;A</t>
        </is>
      </c>
      <c r="J126" s="6" t="inlineStr">
        <is>
          <t>Equilibrada</t>
        </is>
      </c>
      <c r="K126" s="6" t="inlineStr">
        <is>
          <t>Equilibrada: probaste 6 meses con 10 clientes y comparaste servicio y margen antes de decidir.</t>
        </is>
      </c>
      <c r="L126" s="4" t="n"/>
      <c r="M126" s="4" t="n"/>
      <c r="N126" s="4" t="n"/>
      <c r="O126" s="6" t="inlineStr">
        <is>
          <t>A distributor would serve your small clients for an 8% commission.</t>
        </is>
      </c>
      <c r="P126" s="6" t="inlineStr">
        <is>
          <t>6-month pilot</t>
        </is>
      </c>
      <c r="Q126" s="6" t="inlineStr">
        <is>
          <t>You test on 10 small clients and compare service and margin.</t>
        </is>
      </c>
      <c r="R126" s="6" t="inlineStr">
        <is>
          <t>Incentives ↑ · SG&amp;A ↓</t>
        </is>
      </c>
      <c r="S126" s="6" t="inlineStr">
        <is>
          <t>Balanced: you tested 6 months with 10 clients and compared service and margin before deciding.</t>
        </is>
      </c>
      <c r="T126" s="4" t="n"/>
    </row>
    <row r="127" ht="27" customHeight="1">
      <c r="A127" s="6" t="inlineStr">
        <is>
          <t>m08s</t>
        </is>
      </c>
      <c r="B127" s="6" t="inlineStr">
        <is>
          <t>Cualquiera</t>
        </is>
      </c>
      <c r="C127" s="6" t="inlineStr">
        <is>
          <t>ESTRATEGIA</t>
        </is>
      </c>
      <c r="D127" s="6" t="inlineStr">
        <is>
          <t>HOTELES</t>
        </is>
      </c>
      <c r="E127" s="6" t="inlineStr">
        <is>
          <t>Un distribuidor atendería a tus clientes pequeños por 8% de comisión.</t>
        </is>
      </c>
      <c r="F127" s="6" t="inlineStr">
        <is>
          <t>Ceder la cartera</t>
        </is>
      </c>
      <c r="G127" s="6" t="inlineStr">
        <is>
          <t>Cedes la cartera de 120 clientes pequeños para bajar tus costos.</t>
        </is>
      </c>
      <c r="H127" s="6" t="inlineStr">
        <is>
          <t>Ventas ↓ · SG&amp;A ↓</t>
        </is>
      </c>
      <c r="I127" s="6" t="inlineStr">
        <is>
          <t>SG&amp;A</t>
        </is>
      </c>
      <c r="J127" s="6" t="inlineStr">
        <is>
          <t>Atajo</t>
        </is>
      </c>
      <c r="K127" s="6" t="inlineStr">
        <is>
          <t>Atajo: cediste la cartera de 120 clientes para bajar costos: el SG&amp;A baja, pero pierdes la relación.</t>
        </is>
      </c>
      <c r="L127" s="4" t="n"/>
      <c r="M127" s="4" t="n"/>
      <c r="N127" s="4" t="n"/>
      <c r="O127" s="6" t="inlineStr">
        <is>
          <t>A distributor would serve your small clients for an 8% commission.</t>
        </is>
      </c>
      <c r="P127" s="6" t="inlineStr">
        <is>
          <t>Hand over the book</t>
        </is>
      </c>
      <c r="Q127" s="6" t="inlineStr">
        <is>
          <t>You hand over the book of 120 small clients to cut your costs.</t>
        </is>
      </c>
      <c r="R127" s="6" t="inlineStr">
        <is>
          <t>Sales ↓ · SG&amp;A ↓</t>
        </is>
      </c>
      <c r="S127" s="6" t="inlineStr">
        <is>
          <t>Shortcut: you handed over 120 clients to cut costs: the SG&amp;A falls, but you lose the relationship.</t>
        </is>
      </c>
      <c r="T127" s="4" t="n"/>
    </row>
    <row r="128" ht="27" customHeight="1">
      <c r="A128" s="6" t="inlineStr">
        <is>
          <t>m08s</t>
        </is>
      </c>
      <c r="B128" s="6" t="inlineStr">
        <is>
          <t>Cualquiera</t>
        </is>
      </c>
      <c r="C128" s="6" t="inlineStr">
        <is>
          <t>ESTRATEGIA</t>
        </is>
      </c>
      <c r="D128" s="6" t="inlineStr">
        <is>
          <t>HOTELES</t>
        </is>
      </c>
      <c r="E128" s="6" t="inlineStr">
        <is>
          <t>Un distribuidor atendería a tus clientes pequeños por 8% de comisión.</t>
        </is>
      </c>
      <c r="F128" s="6" t="inlineStr">
        <is>
          <t>Pagar la comisión</t>
        </is>
      </c>
      <c r="G128" s="6" t="inlineStr">
        <is>
          <t>Pagas la comisión de 8% con las condiciones que pida el distribuidor.</t>
        </is>
      </c>
      <c r="H128" s="6" t="inlineStr">
        <is>
          <t>Incentivos ↑</t>
        </is>
      </c>
      <c r="I128" s="6" t="inlineStr">
        <is>
          <t>Incentivos</t>
        </is>
      </c>
      <c r="J128" s="6" t="inlineStr">
        <is>
          <t>Ceder</t>
        </is>
      </c>
      <c r="K128" s="6" t="inlineStr">
        <is>
          <t>Cesión: aceptaste el 8% y las condiciones del distribuidor: el margen de esos clientes baja.</t>
        </is>
      </c>
      <c r="L128" s="4" t="n"/>
      <c r="M128" s="4" t="n"/>
      <c r="N128" s="4" t="n"/>
      <c r="O128" s="6" t="inlineStr">
        <is>
          <t>A distributor would serve your small clients for an 8% commission.</t>
        </is>
      </c>
      <c r="P128" s="6" t="inlineStr">
        <is>
          <t>Pay the commission</t>
        </is>
      </c>
      <c r="Q128" s="6" t="inlineStr">
        <is>
          <t>You pay the 8% commission on the terms the distributor asks.</t>
        </is>
      </c>
      <c r="R128" s="6" t="inlineStr">
        <is>
          <t>Incentives ↑</t>
        </is>
      </c>
      <c r="S128" s="6" t="inlineStr">
        <is>
          <t>Concession: you accepted the 8% and the distributor terms: the margin on those clients drops.</t>
        </is>
      </c>
      <c r="T128" s="4" t="n"/>
    </row>
    <row r="129" ht="27" customHeight="1">
      <c r="A129" s="6" t="inlineStr">
        <is>
          <t>m08s</t>
        </is>
      </c>
      <c r="B129" s="6" t="inlineStr">
        <is>
          <t>Cualquiera</t>
        </is>
      </c>
      <c r="C129" s="6" t="inlineStr">
        <is>
          <t>ESTRATEGIA</t>
        </is>
      </c>
      <c r="D129" s="6" t="inlineStr">
        <is>
          <t>HOTELES</t>
        </is>
      </c>
      <c r="E129" s="6" t="inlineStr">
        <is>
          <t>Un distribuidor atendería a tus clientes pequeños por 8% de comisión.</t>
        </is>
      </c>
      <c r="F129" s="6" t="inlineStr">
        <is>
          <t>Rechazar el trato</t>
        </is>
      </c>
      <c r="G129" s="6" t="inlineStr">
        <is>
          <t>Rechazas el 8% de comisión por política interna, antes de ver los números.</t>
        </is>
      </c>
      <c r="H129" s="6" t="inlineStr">
        <is>
          <t>Direct Chg ↑</t>
        </is>
      </c>
      <c r="I129" s="6" t="inlineStr">
        <is>
          <t>Direct Chg</t>
        </is>
      </c>
      <c r="J129" s="6" t="inlineStr">
        <is>
          <t>Pasiva</t>
        </is>
      </c>
      <c r="K129" s="6" t="inlineStr">
        <is>
          <t>Pasividad: rechazaste el 8% por política, sin ver números: sigues pagando visitas que no dan margen.</t>
        </is>
      </c>
      <c r="L129" s="4" t="n"/>
      <c r="M129" s="4" t="n"/>
      <c r="N129" s="4" t="n"/>
      <c r="O129" s="6" t="inlineStr">
        <is>
          <t>A distributor would serve your small clients for an 8% commission.</t>
        </is>
      </c>
      <c r="P129" s="6" t="inlineStr">
        <is>
          <t>Reject the offer</t>
        </is>
      </c>
      <c r="Q129" s="6" t="inlineStr">
        <is>
          <t>You reject the 8% offer on internal policy, before seeing the numbers.</t>
        </is>
      </c>
      <c r="R129" s="6" t="inlineStr">
        <is>
          <t>Direct Chg ↑</t>
        </is>
      </c>
      <c r="S129" s="6" t="inlineStr">
        <is>
          <t>Passivity: you rejected the 8% by policy without seeing numbers: visits with no margin go on.</t>
        </is>
      </c>
      <c r="T129" s="4" t="n"/>
    </row>
    <row r="130" ht="40.5" customHeight="1">
      <c r="A130" s="6" t="inlineStr">
        <is>
          <t>m09c</t>
        </is>
      </c>
      <c r="B130" s="6" t="inlineStr">
        <is>
          <t>Cualquiera</t>
        </is>
      </c>
      <c r="C130" s="6" t="inlineStr">
        <is>
          <t>CLIENTE</t>
        </is>
      </c>
      <c r="D130" s="6" t="inlineStr">
        <is>
          <t>HOTELES</t>
        </is>
      </c>
      <c r="E130" s="6" t="inlineStr">
        <is>
          <t>Un cliente (13% de tus ventas) promete 20% más volumen si le bajas 5%.</t>
        </is>
      </c>
      <c r="F130" s="6" t="inlineStr">
        <is>
          <t>Descuento por tramo</t>
        </is>
      </c>
      <c r="G130" s="6" t="inlineStr">
        <is>
          <t>Rebajas 5% en los embarques nuevos y revisas el resultado a los 3 meses.</t>
        </is>
      </c>
      <c r="H130" s="6" t="inlineStr">
        <is>
          <t>volumen +1,5%, precio -0,1%</t>
        </is>
      </c>
      <c r="I130" s="6" t="inlineStr">
        <is>
          <t>Incentivos</t>
        </is>
      </c>
      <c r="J130" s="6" t="inlineStr">
        <is>
          <t>Equilibrada</t>
        </is>
      </c>
      <c r="K130" s="6" t="inlineStr">
        <is>
          <t>Equilibrada: rebajaste 5% solo a los embarques nuevos y revisas a los 3 meses: más ventas, con margen cuidado.</t>
        </is>
      </c>
      <c r="L130" s="4" t="n"/>
      <c r="M130" s="4" t="n"/>
      <c r="N130" s="4" t="n"/>
      <c r="O130" s="6" t="inlineStr">
        <is>
          <t>A client (13% of your sales) promises 20% more volume if you cut 5%.</t>
        </is>
      </c>
      <c r="P130" s="6" t="inlineStr">
        <is>
          <t>Tiered discount</t>
        </is>
      </c>
      <c r="Q130" s="6" t="inlineStr">
        <is>
          <t>You cut 5% on the new shipments and review the result after 3 months.</t>
        </is>
      </c>
      <c r="R130" s="6" t="inlineStr">
        <is>
          <t>volume +1.5%, price -0.1%</t>
        </is>
      </c>
      <c r="S130" s="6" t="inlineStr">
        <is>
          <t>Balanced: you cut 5% only on new shipments and review at 3 months: more sales, margin looked after.</t>
        </is>
      </c>
      <c r="T130" s="4" t="n"/>
    </row>
    <row r="131" ht="40.5" customHeight="1">
      <c r="A131" s="6" t="inlineStr">
        <is>
          <t>m09c</t>
        </is>
      </c>
      <c r="B131" s="6" t="inlineStr">
        <is>
          <t>Cualquiera</t>
        </is>
      </c>
      <c r="C131" s="6" t="inlineStr">
        <is>
          <t>CLIENTE</t>
        </is>
      </c>
      <c r="D131" s="6" t="inlineStr">
        <is>
          <t>HOTELES</t>
        </is>
      </c>
      <c r="E131" s="6" t="inlineStr">
        <is>
          <t>Un cliente (13% de tus ventas) promete 20% más volumen si le bajas 5%.</t>
        </is>
      </c>
      <c r="F131" s="6" t="inlineStr">
        <is>
          <t>Subir al resto</t>
        </is>
      </c>
      <c r="G131" s="6" t="inlineStr">
        <is>
          <t>Aumentas 3% la lista a los clientes chicos, que no negocian, y costeas esto.</t>
        </is>
      </c>
      <c r="H131" s="6" t="inlineStr">
        <is>
          <t>volumen -0,3%, precio +0,8%</t>
        </is>
      </c>
      <c r="I131" s="6" t="inlineStr">
        <is>
          <t>Ventas</t>
        </is>
      </c>
      <c r="J131" s="6" t="inlineStr">
        <is>
          <t>Atajo</t>
        </is>
      </c>
      <c r="K131" s="6" t="inlineStr">
        <is>
          <t>Atajo: subiste 3% la lista de los clientes chicos, que no negocian: hoy sube el OI, mañana lo notan.</t>
        </is>
      </c>
      <c r="L131" s="4" t="n"/>
      <c r="M131" s="4" t="n"/>
      <c r="N131" s="4" t="n"/>
      <c r="O131" s="6" t="inlineStr">
        <is>
          <t>A client (13% of your sales) promises 20% more volume if you cut 5%.</t>
        </is>
      </c>
      <c r="P131" s="6" t="inlineStr">
        <is>
          <t>Charge the others</t>
        </is>
      </c>
      <c r="Q131" s="6" t="inlineStr">
        <is>
          <t>You lift the list 3% for minor clients, who rarely haggle, to cover the cost.</t>
        </is>
      </c>
      <c r="R131" s="6" t="inlineStr">
        <is>
          <t>volume -0.3%, price +0.8%</t>
        </is>
      </c>
      <c r="S131" s="6" t="inlineStr">
        <is>
          <t>Shortcut: you raised small clients, who do not negotiate, by 3%: OI rises today, they notice tomorrow.</t>
        </is>
      </c>
      <c r="T131" s="4" t="n"/>
    </row>
    <row r="132" ht="27" customHeight="1">
      <c r="A132" s="6" t="inlineStr">
        <is>
          <t>m09c</t>
        </is>
      </c>
      <c r="B132" s="6" t="inlineStr">
        <is>
          <t>Cualquiera</t>
        </is>
      </c>
      <c r="C132" s="6" t="inlineStr">
        <is>
          <t>CLIENTE</t>
        </is>
      </c>
      <c r="D132" s="6" t="inlineStr">
        <is>
          <t>HOTELES</t>
        </is>
      </c>
      <c r="E132" s="6" t="inlineStr">
        <is>
          <t>Un cliente (13% de tus ventas) promete 20% más volumen si le bajas 5%.</t>
        </is>
      </c>
      <c r="F132" s="6" t="inlineStr">
        <is>
          <t>Dar el 5% a todo</t>
        </is>
      </c>
      <c r="G132" s="6" t="inlineStr">
        <is>
          <t>Concedes 5% de descuento por todo el año y confías en su promesa de crecer.</t>
        </is>
      </c>
      <c r="H132" s="6" t="inlineStr">
        <is>
          <t>volumen +1,4%, precio -0,7%</t>
        </is>
      </c>
      <c r="I132" s="6" t="inlineStr">
        <is>
          <t>Ventas</t>
        </is>
      </c>
      <c r="J132" s="6" t="inlineStr">
        <is>
          <t>Ceder</t>
        </is>
      </c>
      <c r="K132" s="6" t="inlineStr">
        <is>
          <t>Cesión: diste 5% por todo el año y confiaste en la promesa: más ventas, con un margen mucho menor.</t>
        </is>
      </c>
      <c r="L132" s="4" t="n"/>
      <c r="M132" s="4" t="n"/>
      <c r="N132" s="4" t="n"/>
      <c r="O132" s="6" t="inlineStr">
        <is>
          <t>A client (13% of your sales) promises 20% more volume if you cut 5%.</t>
        </is>
      </c>
      <c r="P132" s="6" t="inlineStr">
        <is>
          <t>Give 5% on all</t>
        </is>
      </c>
      <c r="Q132" s="6" t="inlineStr">
        <is>
          <t>You grant a 5% discount all year and trust their promise to grow.</t>
        </is>
      </c>
      <c r="R132" s="6" t="inlineStr">
        <is>
          <t>volume +1.4%, price -0.7%</t>
        </is>
      </c>
      <c r="S132" s="6" t="inlineStr">
        <is>
          <t>Concession: you gave 5% for the whole year trusting the promise: more sales, at a much lower margin.</t>
        </is>
      </c>
      <c r="T132" s="4" t="n"/>
    </row>
    <row r="133" ht="27" customHeight="1">
      <c r="A133" s="6" t="inlineStr">
        <is>
          <t>m09c</t>
        </is>
      </c>
      <c r="B133" s="6" t="inlineStr">
        <is>
          <t>Cualquiera</t>
        </is>
      </c>
      <c r="C133" s="6" t="inlineStr">
        <is>
          <t>CLIENTE</t>
        </is>
      </c>
      <c r="D133" s="6" t="inlineStr">
        <is>
          <t>HOTELES</t>
        </is>
      </c>
      <c r="E133" s="6" t="inlineStr">
        <is>
          <t>Un cliente (13% de tus ventas) promete 20% más volumen si le bajas 5%.</t>
        </is>
      </c>
      <c r="F133" s="6" t="inlineStr">
        <is>
          <t>Pasar al comité</t>
        </is>
      </c>
      <c r="G133" s="6" t="inlineStr">
        <is>
          <t>Dejas la propuesta en el comité de precios, que sesiona en 4 semanas.</t>
        </is>
      </c>
      <c r="H133" s="6" t="inlineStr">
        <is>
          <t>volumen -1,5%</t>
        </is>
      </c>
      <c r="I133" s="6" t="inlineStr">
        <is>
          <t>Ventas</t>
        </is>
      </c>
      <c r="J133" s="6" t="inlineStr">
        <is>
          <t>Pasiva</t>
        </is>
      </c>
      <c r="K133" s="6" t="inlineStr">
        <is>
          <t>Pasividad: dejaste la propuesta 4 semanas en el comité y el hotel repartió el volumen entre otros.</t>
        </is>
      </c>
      <c r="L133" s="4" t="n"/>
      <c r="M133" s="4" t="n"/>
      <c r="N133" s="4" t="n"/>
      <c r="O133" s="6" t="inlineStr">
        <is>
          <t>A client (13% of your sales) promises 20% more volume if you cut 5%.</t>
        </is>
      </c>
      <c r="P133" s="6" t="inlineStr">
        <is>
          <t>Send to committee</t>
        </is>
      </c>
      <c r="Q133" s="6" t="inlineStr">
        <is>
          <t>You leave the proposal with the pricing committee, which meets in 4 weeks.</t>
        </is>
      </c>
      <c r="R133" s="6" t="inlineStr">
        <is>
          <t>volume -1.5%</t>
        </is>
      </c>
      <c r="S133" s="6" t="inlineStr">
        <is>
          <t>Passivity: you left the proposal 4 weeks in committee and the hotel split the volume among others.</t>
        </is>
      </c>
      <c r="T133" s="4" t="n"/>
    </row>
    <row r="134" ht="40.5" customHeight="1">
      <c r="A134" s="6" t="inlineStr">
        <is>
          <t>m09p</t>
        </is>
      </c>
      <c r="B134" s="6" t="inlineStr">
        <is>
          <t>Cualquiera</t>
        </is>
      </c>
      <c r="C134" s="6" t="inlineStr">
        <is>
          <t>PLANTA</t>
        </is>
      </c>
      <c r="D134" s="6" t="inlineStr">
        <is>
          <t>INDUSTRIA</t>
        </is>
      </c>
      <c r="E134" s="6" t="inlineStr">
        <is>
          <t>La tarifa eléctrica sube 12% en horario punta, donde la planta gasta 40%.</t>
        </is>
      </c>
      <c r="F134" s="6" t="inlineStr">
        <is>
          <t>Mover la carga</t>
        </is>
      </c>
      <c r="G134" s="6" t="inlineStr">
        <is>
          <t>Pasas 2 líneas de la planta al turno de noche y mantienes los pedidos.</t>
        </is>
      </c>
      <c r="H134" s="6" t="inlineStr">
        <is>
          <t>Costo ↓</t>
        </is>
      </c>
      <c r="I134" s="6" t="inlineStr">
        <is>
          <t>Costo</t>
        </is>
      </c>
      <c r="J134" s="6" t="inlineStr">
        <is>
          <t>Equilibrada</t>
        </is>
      </c>
      <c r="K134" s="6" t="inlineStr">
        <is>
          <t>Equilibrada: pasaste 2 líneas a la noche: la energía cuesta menos y mantienes los pedidos.</t>
        </is>
      </c>
      <c r="L134" s="4" t="n"/>
      <c r="M134" s="4" t="n"/>
      <c r="N134" s="4" t="n"/>
      <c r="O134" s="6" t="inlineStr">
        <is>
          <t>The power tariff rises 12% at peak hours, where the plant uses 40%.</t>
        </is>
      </c>
      <c r="P134" s="6" t="inlineStr">
        <is>
          <t>Shift the load</t>
        </is>
      </c>
      <c r="Q134" s="6" t="inlineStr">
        <is>
          <t>You push 2 plant lines to the night shift with the same staff.</t>
        </is>
      </c>
      <c r="R134" s="6" t="inlineStr">
        <is>
          <t>Cost ↓</t>
        </is>
      </c>
      <c r="S134" s="6" t="inlineStr">
        <is>
          <t>Balanced: you moved 2 lines to the night shift: energy costs less and you keep the orders.</t>
        </is>
      </c>
      <c r="T134" s="4" t="n"/>
    </row>
    <row r="135" ht="40.5" customHeight="1">
      <c r="A135" s="6" t="inlineStr">
        <is>
          <t>m09p</t>
        </is>
      </c>
      <c r="B135" s="6" t="inlineStr">
        <is>
          <t>Cualquiera</t>
        </is>
      </c>
      <c r="C135" s="6" t="inlineStr">
        <is>
          <t>PLANTA</t>
        </is>
      </c>
      <c r="D135" s="6" t="inlineStr">
        <is>
          <t>INDUSTRIA</t>
        </is>
      </c>
      <c r="E135" s="6" t="inlineStr">
        <is>
          <t>La tarifa eléctrica sube 12% en horario punta, donde la planta gasta 40%.</t>
        </is>
      </c>
      <c r="F135" s="6" t="inlineStr">
        <is>
          <t>Turno corto</t>
        </is>
      </c>
      <c r="G135" s="6" t="inlineStr">
        <is>
          <t>Acortas el turno de tarde en un 25%, con lo que los pedidos chicos se atrasan.</t>
        </is>
      </c>
      <c r="H135" s="6" t="inlineStr">
        <is>
          <t>Ventas ↓ · Costo ↓</t>
        </is>
      </c>
      <c r="I135" s="6" t="inlineStr">
        <is>
          <t>Costo</t>
        </is>
      </c>
      <c r="J135" s="6" t="inlineStr">
        <is>
          <t>Atajo</t>
        </is>
      </c>
      <c r="K135" s="6" t="inlineStr">
        <is>
          <t>Atajo: acortaste el turno de tarde 25%: ahorras energía, pero los pedidos chicos se atrasan.</t>
        </is>
      </c>
      <c r="L135" s="4" t="n"/>
      <c r="M135" s="4" t="n"/>
      <c r="N135" s="4" t="n"/>
      <c r="O135" s="6" t="inlineStr">
        <is>
          <t>The power tariff rises 12% at peak hours, where the plant uses 40%.</t>
        </is>
      </c>
      <c r="P135" s="6" t="inlineStr">
        <is>
          <t>Short shift</t>
        </is>
      </c>
      <c r="Q135" s="6" t="inlineStr">
        <is>
          <t>You cut the afternoon shift by 25% and small orders run late.</t>
        </is>
      </c>
      <c r="R135" s="6" t="inlineStr">
        <is>
          <t>Sales ↓ · Cost ↓</t>
        </is>
      </c>
      <c r="S135" s="6" t="inlineStr">
        <is>
          <t>Shortcut: you cut the afternoon shift 25%: you save energy, but small orders are late.</t>
        </is>
      </c>
      <c r="T135" s="4" t="n"/>
    </row>
    <row r="136" ht="40.5" customHeight="1">
      <c r="A136" s="6" t="inlineStr">
        <is>
          <t>m09p</t>
        </is>
      </c>
      <c r="B136" s="6" t="inlineStr">
        <is>
          <t>Cualquiera</t>
        </is>
      </c>
      <c r="C136" s="6" t="inlineStr">
        <is>
          <t>PLANTA</t>
        </is>
      </c>
      <c r="D136" s="6" t="inlineStr">
        <is>
          <t>INDUSTRIA</t>
        </is>
      </c>
      <c r="E136" s="6" t="inlineStr">
        <is>
          <t>La tarifa eléctrica sube 12% en horario punta, donde la planta gasta 40%.</t>
        </is>
      </c>
      <c r="F136" s="6" t="inlineStr">
        <is>
          <t>Cubrir el alza</t>
        </is>
      </c>
      <c r="G136" s="6" t="inlineStr">
        <is>
          <t>Cubres el alza completa y mantienes los 3 turnos por no tocar la rutina.</t>
        </is>
      </c>
      <c r="H136" s="6" t="inlineStr">
        <is>
          <t>Costo ↑</t>
        </is>
      </c>
      <c r="I136" s="6" t="inlineStr">
        <is>
          <t>Costo</t>
        </is>
      </c>
      <c r="J136" s="6" t="inlineStr">
        <is>
          <t>Ceder</t>
        </is>
      </c>
      <c r="K136" s="6" t="inlineStr">
        <is>
          <t>Cesión: cubriste el alza completa por no tocar la rutina: el costo de energía sube todos los meses.</t>
        </is>
      </c>
      <c r="L136" s="4" t="n"/>
      <c r="M136" s="4" t="n"/>
      <c r="N136" s="4" t="n"/>
      <c r="O136" s="6" t="inlineStr">
        <is>
          <t>The power tariff rises 12% at peak hours, where the plant uses 40%.</t>
        </is>
      </c>
      <c r="P136" s="6" t="inlineStr">
        <is>
          <t>Cover the rise</t>
        </is>
      </c>
      <c r="Q136" s="6" t="inlineStr">
        <is>
          <t>You cover the whole rise and keep the 3 shifts to leave the routine alone.</t>
        </is>
      </c>
      <c r="R136" s="6" t="inlineStr">
        <is>
          <t>Cost ↑</t>
        </is>
      </c>
      <c r="S136" s="6" t="inlineStr">
        <is>
          <t>Concession: you covered the full rise to avoid touching the routine: energy cost rises every month.</t>
        </is>
      </c>
      <c r="T136" s="4" t="n"/>
    </row>
    <row r="137" ht="40.5" customHeight="1">
      <c r="A137" s="6" t="inlineStr">
        <is>
          <t>m09p</t>
        </is>
      </c>
      <c r="B137" s="6" t="inlineStr">
        <is>
          <t>Cualquiera</t>
        </is>
      </c>
      <c r="C137" s="6" t="inlineStr">
        <is>
          <t>PLANTA</t>
        </is>
      </c>
      <c r="D137" s="6" t="inlineStr">
        <is>
          <t>INDUSTRIA</t>
        </is>
      </c>
      <c r="E137" s="6" t="inlineStr">
        <is>
          <t>La tarifa eléctrica sube 12% en horario punta, donde la planta gasta 40%.</t>
        </is>
      </c>
      <c r="F137" s="6" t="inlineStr">
        <is>
          <t>Plan sin cambios</t>
        </is>
      </c>
      <c r="G137" s="6" t="inlineStr">
        <is>
          <t>Sigues con los 3 turnos actuales y la tarifa se revisa dentro de 3 meses.</t>
        </is>
      </c>
      <c r="H137" s="6" t="inlineStr">
        <is>
          <t>Costo ↑</t>
        </is>
      </c>
      <c r="I137" s="6" t="inlineStr">
        <is>
          <t>Costo</t>
        </is>
      </c>
      <c r="J137" s="6" t="inlineStr">
        <is>
          <t>Pasiva</t>
        </is>
      </c>
      <c r="K137" s="6" t="inlineStr">
        <is>
          <t>Pasividad: seguiste con 3 turnos hasta la revisión y pagaste el alza completa 3 meses sin mover nada.</t>
        </is>
      </c>
      <c r="L137" s="4" t="n"/>
      <c r="M137" s="4" t="n"/>
      <c r="N137" s="4" t="n"/>
      <c r="O137" s="6" t="inlineStr">
        <is>
          <t>The power tariff rises 12% at peak hours, where the plant uses 40%.</t>
        </is>
      </c>
      <c r="P137" s="6" t="inlineStr">
        <is>
          <t>Plan unchanged</t>
        </is>
      </c>
      <c r="Q137" s="6" t="inlineStr">
        <is>
          <t>You run the current 3 shifts and the tariff gets reviewed in 3 months.</t>
        </is>
      </c>
      <c r="R137" s="6" t="inlineStr">
        <is>
          <t>Cost ↑</t>
        </is>
      </c>
      <c r="S137" s="6" t="inlineStr">
        <is>
          <t>Passivity: you kept 3 shifts until the review and paid the full rise for 3 months, moving nothing.</t>
        </is>
      </c>
      <c r="T137" s="4" t="n"/>
    </row>
    <row r="138" ht="40.5" customHeight="1">
      <c r="A138" s="6" t="inlineStr">
        <is>
          <t>m09e</t>
        </is>
      </c>
      <c r="B138" s="6" t="inlineStr">
        <is>
          <t>Cualquiera</t>
        </is>
      </c>
      <c r="C138" s="6" t="inlineStr">
        <is>
          <t>ENTORNO</t>
        </is>
      </c>
      <c r="D138" s="6" t="inlineStr">
        <is>
          <t>HOTELES</t>
        </is>
      </c>
      <c r="E138" s="6" t="inlineStr">
        <is>
          <t>Vienen elecciones y 4 clientes frenan pedidos por la incertidumbre.</t>
        </is>
      </c>
      <c r="F138" s="6" t="inlineStr">
        <is>
          <t>Contrato puente</t>
        </is>
      </c>
      <c r="G138" s="6" t="inlineStr">
        <is>
          <t>Firmas contratos de 6 meses a precio fijo, con opción de ampliar a 12.</t>
        </is>
      </c>
      <c r="H138" s="6" t="inlineStr">
        <is>
          <t>Ventas ↑</t>
        </is>
      </c>
      <c r="I138" s="6" t="inlineStr">
        <is>
          <t>Ventas</t>
        </is>
      </c>
      <c r="J138" s="6" t="inlineStr">
        <is>
          <t>Equilibrada</t>
        </is>
      </c>
      <c r="K138" s="6" t="inlineStr">
        <is>
          <t>Equilibrada: contratos puente de 6 meses a precio fijo, con opción a 12: vuelven los pedidos.</t>
        </is>
      </c>
      <c r="L138" s="4" t="n"/>
      <c r="M138" s="4" t="n"/>
      <c r="N138" s="4" t="n"/>
      <c r="O138" s="6" t="inlineStr">
        <is>
          <t>Elections are coming and 4 clients hold back orders amid the uncertainty.</t>
        </is>
      </c>
      <c r="P138" s="6" t="inlineStr">
        <is>
          <t>Bridge contract</t>
        </is>
      </c>
      <c r="Q138" s="6" t="inlineStr">
        <is>
          <t>You offer 6-month contracts at a fixed price, with an option to extend to 12.</t>
        </is>
      </c>
      <c r="R138" s="6" t="inlineStr">
        <is>
          <t>Sales ↑</t>
        </is>
      </c>
      <c r="S138" s="6" t="inlineStr">
        <is>
          <t>Balanced: bridge contracts of 6 months at a fixed price, with an option for 12: orders come back.</t>
        </is>
      </c>
      <c r="T138" s="4" t="n"/>
    </row>
    <row r="139" ht="40.5" customHeight="1">
      <c r="A139" s="6" t="inlineStr">
        <is>
          <t>m09e</t>
        </is>
      </c>
      <c r="B139" s="6" t="inlineStr">
        <is>
          <t>Cualquiera</t>
        </is>
      </c>
      <c r="C139" s="6" t="inlineStr">
        <is>
          <t>ENTORNO</t>
        </is>
      </c>
      <c r="D139" s="6" t="inlineStr">
        <is>
          <t>HOTELES</t>
        </is>
      </c>
      <c r="E139" s="6" t="inlineStr">
        <is>
          <t>Vienen elecciones y 4 clientes frenan pedidos por la incertidumbre.</t>
        </is>
      </c>
      <c r="F139" s="6" t="inlineStr">
        <is>
          <t>Premio por firmar</t>
        </is>
      </c>
      <c r="G139" s="6" t="inlineStr">
        <is>
          <t>Rebajas 8% a los 4 clientes que firmen este mes, aunque ya pensaban comprar.</t>
        </is>
      </c>
      <c r="H139" s="6" t="inlineStr">
        <is>
          <t>Ventas ↑ · Incentivos ↑</t>
        </is>
      </c>
      <c r="I139" s="6" t="inlineStr">
        <is>
          <t>Ventas</t>
        </is>
      </c>
      <c r="J139" s="6" t="inlineStr">
        <is>
          <t>Atajo</t>
        </is>
      </c>
      <c r="K139" s="6" t="inlineStr">
        <is>
          <t>Atajo: rebajaste 8% a quien firmara este mes; ya pensaban comprar: regalaste margen por nada.</t>
        </is>
      </c>
      <c r="L139" s="4" t="n"/>
      <c r="M139" s="4" t="n"/>
      <c r="N139" s="4" t="n"/>
      <c r="O139" s="6" t="inlineStr">
        <is>
          <t>Elections are coming and 4 clients hold back orders amid the uncertainty.</t>
        </is>
      </c>
      <c r="P139" s="6" t="inlineStr">
        <is>
          <t>Prize for signing</t>
        </is>
      </c>
      <c r="Q139" s="6" t="inlineStr">
        <is>
          <t>You cut 8% for the 4 clients who sign in 30 days, though they planned to buy.</t>
        </is>
      </c>
      <c r="R139" s="6" t="inlineStr">
        <is>
          <t>Sales ↑ · Incentives ↑</t>
        </is>
      </c>
      <c r="S139" s="6" t="inlineStr">
        <is>
          <t>Shortcut: you cut 8% for whoever signed this month; they already meant to buy: margin given away for nothing.</t>
        </is>
      </c>
      <c r="T139" s="4" t="n"/>
    </row>
    <row r="140" ht="40.5" customHeight="1">
      <c r="A140" s="6" t="inlineStr">
        <is>
          <t>m09e</t>
        </is>
      </c>
      <c r="B140" s="6" t="inlineStr">
        <is>
          <t>Cualquiera</t>
        </is>
      </c>
      <c r="C140" s="6" t="inlineStr">
        <is>
          <t>ENTORNO</t>
        </is>
      </c>
      <c r="D140" s="6" t="inlineStr">
        <is>
          <t>HOTELES</t>
        </is>
      </c>
      <c r="E140" s="6" t="inlineStr">
        <is>
          <t>Vienen elecciones y 4 clientes frenan pedidos por la incertidumbre.</t>
        </is>
      </c>
      <c r="F140" s="6" t="inlineStr">
        <is>
          <t>Ir a su ritmo</t>
        </is>
      </c>
      <c r="G140" s="6" t="inlineStr">
        <is>
          <t>Adoptas el calendario que fije cada cliente y reprogramas la planta entera.</t>
        </is>
      </c>
      <c r="H140" s="6" t="inlineStr">
        <is>
          <t>Costo ↑</t>
        </is>
      </c>
      <c r="I140" s="6" t="inlineStr">
        <is>
          <t>Costo</t>
        </is>
      </c>
      <c r="J140" s="6" t="inlineStr">
        <is>
          <t>Ceder</t>
        </is>
      </c>
      <c r="K140" s="6" t="inlineStr">
        <is>
          <t>Cesión: adoptaste el calendario de cada cliente y reprogramaste la planta entera: el desorden lo pagas tú.</t>
        </is>
      </c>
      <c r="L140" s="4" t="n"/>
      <c r="M140" s="4" t="n"/>
      <c r="N140" s="4" t="n"/>
      <c r="O140" s="6" t="inlineStr">
        <is>
          <t>Elections are coming and 4 clients hold back orders amid the uncertainty.</t>
        </is>
      </c>
      <c r="P140" s="6" t="inlineStr">
        <is>
          <t>Go at their pace</t>
        </is>
      </c>
      <c r="Q140" s="6" t="inlineStr">
        <is>
          <t>You adopt whatever calendar each client sets and reschedule the whole plant.</t>
        </is>
      </c>
      <c r="R140" s="6" t="inlineStr">
        <is>
          <t>Cost ↑</t>
        </is>
      </c>
      <c r="S140" s="6" t="inlineStr">
        <is>
          <t>Concession: you followed each client calendar and rescheduled the whole plant: you pay for the mess.</t>
        </is>
      </c>
      <c r="T140" s="4" t="n"/>
    </row>
    <row r="141" ht="40.5" customHeight="1">
      <c r="A141" s="6" t="inlineStr">
        <is>
          <t>m09e</t>
        </is>
      </c>
      <c r="B141" s="6" t="inlineStr">
        <is>
          <t>Cualquiera</t>
        </is>
      </c>
      <c r="C141" s="6" t="inlineStr">
        <is>
          <t>ENTORNO</t>
        </is>
      </c>
      <c r="D141" s="6" t="inlineStr">
        <is>
          <t>HOTELES</t>
        </is>
      </c>
      <c r="E141" s="6" t="inlineStr">
        <is>
          <t>Vienen elecciones y 4 clientes frenan pedidos por la incertidumbre.</t>
        </is>
      </c>
      <c r="F141" s="6" t="inlineStr">
        <is>
          <t>Pausa de campaña</t>
        </is>
      </c>
      <c r="G141" s="6" t="inlineStr">
        <is>
          <t>Pausas las ofertas durante la campaña y las retomas después de la elección.</t>
        </is>
      </c>
      <c r="H141" s="6" t="inlineStr">
        <is>
          <t>Ventas ↓</t>
        </is>
      </c>
      <c r="I141" s="6" t="inlineStr">
        <is>
          <t>Ventas</t>
        </is>
      </c>
      <c r="J141" s="6" t="inlineStr">
        <is>
          <t>Pasiva</t>
        </is>
      </c>
      <c r="K141" s="6" t="inlineStr">
        <is>
          <t>Pasividad: pausaste las ofertas durante la campaña y los 4 clientes volvieron a pedir después.</t>
        </is>
      </c>
      <c r="L141" s="4" t="n"/>
      <c r="M141" s="4" t="n"/>
      <c r="N141" s="4" t="n"/>
      <c r="O141" s="6" t="inlineStr">
        <is>
          <t>Elections are coming and 4 clients hold back orders amid the uncertainty.</t>
        </is>
      </c>
      <c r="P141" s="6" t="inlineStr">
        <is>
          <t>Campaign pause</t>
        </is>
      </c>
      <c r="Q141" s="6" t="inlineStr">
        <is>
          <t>You pause offers during the campaign and resume them after the election.</t>
        </is>
      </c>
      <c r="R141" s="6" t="inlineStr">
        <is>
          <t>Sales ↓</t>
        </is>
      </c>
      <c r="S141" s="6" t="inlineStr">
        <is>
          <t>Passivity: you paused offers during the campaign and the 4 clients ordered again afterwards.</t>
        </is>
      </c>
      <c r="T141" s="4" t="n"/>
    </row>
    <row r="142" ht="40.5" customHeight="1">
      <c r="A142" s="6" t="inlineStr">
        <is>
          <t>m09s</t>
        </is>
      </c>
      <c r="B142" s="6" t="inlineStr">
        <is>
          <t>Cualquiera</t>
        </is>
      </c>
      <c r="C142" s="6" t="inlineStr">
        <is>
          <t>ESTRATEGIA</t>
        </is>
      </c>
      <c r="D142" s="6" t="inlineStr">
        <is>
          <t>ALIMENTOS</t>
        </is>
      </c>
      <c r="E142" s="6" t="inlineStr">
        <is>
          <t>Tu proveedor clave (32% del costo) ofrece 6% menos por 3 años de contrato.</t>
        </is>
      </c>
      <c r="F142" s="6" t="inlineStr">
        <is>
          <t>Contrato con salida</t>
        </is>
      </c>
      <c r="G142" s="6" t="inlineStr">
        <is>
          <t>Firmas 36 meses con una cláusula de salida al mes 18 y precio indexado.</t>
        </is>
      </c>
      <c r="H142" s="6" t="inlineStr">
        <is>
          <t>Costo ↓</t>
        </is>
      </c>
      <c r="I142" s="6" t="inlineStr">
        <is>
          <t>Costo</t>
        </is>
      </c>
      <c r="J142" s="6" t="inlineStr">
        <is>
          <t>Equilibrada</t>
        </is>
      </c>
      <c r="K142" s="6" t="inlineStr">
        <is>
          <t>Equilibrada: firmaste 36 meses con salida al mes 18 y precio indexado: el costo baja y conservas opciones.</t>
        </is>
      </c>
      <c r="L142" s="4" t="n"/>
      <c r="M142" s="4" t="n"/>
      <c r="N142" s="4" t="n"/>
      <c r="O142" s="6" t="inlineStr">
        <is>
          <t>Your key supplier (32% of cost) offers 6% less for a 3-year contract.</t>
        </is>
      </c>
      <c r="P142" s="6" t="inlineStr">
        <is>
          <t>Contract with exit</t>
        </is>
      </c>
      <c r="Q142" s="6" t="inlineStr">
        <is>
          <t>You sign 36 months with an exit clause at month 18 and an indexed price.</t>
        </is>
      </c>
      <c r="R142" s="6" t="inlineStr">
        <is>
          <t>Cost ↓</t>
        </is>
      </c>
      <c r="S142" s="6" t="inlineStr">
        <is>
          <t>Balanced: you signed 36 months with an exit at month 18 and indexed price: cost falls and you keep options.</t>
        </is>
      </c>
      <c r="T142" s="4" t="n"/>
    </row>
    <row r="143" ht="40.5" customHeight="1">
      <c r="A143" s="6" t="inlineStr">
        <is>
          <t>m09s</t>
        </is>
      </c>
      <c r="B143" s="6" t="inlineStr">
        <is>
          <t>Cualquiera</t>
        </is>
      </c>
      <c r="C143" s="6" t="inlineStr">
        <is>
          <t>ESTRATEGIA</t>
        </is>
      </c>
      <c r="D143" s="6" t="inlineStr">
        <is>
          <t>ALIMENTOS</t>
        </is>
      </c>
      <c r="E143" s="6" t="inlineStr">
        <is>
          <t>Tu proveedor clave (32% del costo) ofrece 6% menos por 3 años de contrato.</t>
        </is>
      </c>
      <c r="F143" s="6" t="inlineStr">
        <is>
          <t>Exclusividad total</t>
        </is>
      </c>
      <c r="G143" s="6" t="inlineStr">
        <is>
          <t>Aceptas 5 años de exclusividad y consigues 9% menos de inmediato.</t>
        </is>
      </c>
      <c r="H143" s="6" t="inlineStr">
        <is>
          <t>Costo ↓</t>
        </is>
      </c>
      <c r="I143" s="6" t="inlineStr">
        <is>
          <t>Costo</t>
        </is>
      </c>
      <c r="J143" s="6" t="inlineStr">
        <is>
          <t>Atajo</t>
        </is>
      </c>
      <c r="K143" s="6" t="inlineStr">
        <is>
          <t>Atajo: aceptaste 5 años de exclusividad por 9% menos: el costo baja hoy y te quedas sin alternativa.</t>
        </is>
      </c>
      <c r="L143" s="4" t="n"/>
      <c r="M143" s="4" t="n"/>
      <c r="N143" s="4" t="n"/>
      <c r="O143" s="6" t="inlineStr">
        <is>
          <t>Your key supplier (32% of cost) offers 6% less for a 3-year contract.</t>
        </is>
      </c>
      <c r="P143" s="6" t="inlineStr">
        <is>
          <t>Total exclusivity</t>
        </is>
      </c>
      <c r="Q143" s="6" t="inlineStr">
        <is>
          <t>You accept 5 years of exclusivity and get 9% less right away.</t>
        </is>
      </c>
      <c r="R143" s="6" t="inlineStr">
        <is>
          <t>Cost ↓</t>
        </is>
      </c>
      <c r="S143" s="6" t="inlineStr">
        <is>
          <t>Shortcut: you accepted 5 years of exclusivity for 9% less: cost falls today and you have no alternative.</t>
        </is>
      </c>
      <c r="T143" s="4" t="n"/>
    </row>
    <row r="144" ht="40.5" customHeight="1">
      <c r="A144" s="6" t="inlineStr">
        <is>
          <t>m09s</t>
        </is>
      </c>
      <c r="B144" s="6" t="inlineStr">
        <is>
          <t>Cualquiera</t>
        </is>
      </c>
      <c r="C144" s="6" t="inlineStr">
        <is>
          <t>ESTRATEGIA</t>
        </is>
      </c>
      <c r="D144" s="6" t="inlineStr">
        <is>
          <t>ALIMENTOS</t>
        </is>
      </c>
      <c r="E144" s="6" t="inlineStr">
        <is>
          <t>Tu proveedor clave (32% del costo) ofrece 6% menos por 3 años de contrato.</t>
        </is>
      </c>
      <c r="F144" s="6" t="inlineStr">
        <is>
          <t>Firmar sin cambios</t>
        </is>
      </c>
      <c r="G144" s="6" t="inlineStr">
        <is>
          <t>Apruebas el texto del proveedor tal como llegó, con alzas anuales.</t>
        </is>
      </c>
      <c r="H144" s="6" t="inlineStr">
        <is>
          <t>Costo ↑</t>
        </is>
      </c>
      <c r="I144" s="6" t="inlineStr">
        <is>
          <t>Costo</t>
        </is>
      </c>
      <c r="J144" s="6" t="inlineStr">
        <is>
          <t>Ceder</t>
        </is>
      </c>
      <c r="K144" s="6" t="inlineStr">
        <is>
          <t>Cesión: firmaste el texto del proveedor tal cual, con alzas anuales: el ahorro se come con los reajustes.</t>
        </is>
      </c>
      <c r="L144" s="4" t="n"/>
      <c r="M144" s="4" t="n"/>
      <c r="N144" s="4" t="n"/>
      <c r="O144" s="6" t="inlineStr">
        <is>
          <t>Your key supplier (32% of cost) offers 6% less for a 3-year contract.</t>
        </is>
      </c>
      <c r="P144" s="6" t="inlineStr">
        <is>
          <t>Sign unchanged</t>
        </is>
      </c>
      <c r="Q144" s="6" t="inlineStr">
        <is>
          <t>You approve the supplier text as it came, with yearly price hikes.</t>
        </is>
      </c>
      <c r="R144" s="6" t="inlineStr">
        <is>
          <t>Cost ↑</t>
        </is>
      </c>
      <c r="S144" s="6" t="inlineStr">
        <is>
          <t>Concession: you signed the supplier text as it came, with yearly rises: the savings melt in the readjustments.</t>
        </is>
      </c>
      <c r="T144" s="4" t="n"/>
    </row>
    <row r="145" ht="40.5" customHeight="1">
      <c r="A145" s="6" t="inlineStr">
        <is>
          <t>m09s</t>
        </is>
      </c>
      <c r="B145" s="6" t="inlineStr">
        <is>
          <t>Cualquiera</t>
        </is>
      </c>
      <c r="C145" s="6" t="inlineStr">
        <is>
          <t>ESTRATEGIA</t>
        </is>
      </c>
      <c r="D145" s="6" t="inlineStr">
        <is>
          <t>ALIMENTOS</t>
        </is>
      </c>
      <c r="E145" s="6" t="inlineStr">
        <is>
          <t>Tu proveedor clave (32% del costo) ofrece 6% menos por 3 años de contrato.</t>
        </is>
      </c>
      <c r="F145" s="6" t="inlineStr">
        <is>
          <t>Dejarlo caducar</t>
        </is>
      </c>
      <c r="G145" s="6" t="inlineStr">
        <is>
          <t>Sigues comprando a precio de lista y la oferta caduca en 30 días.</t>
        </is>
      </c>
      <c r="H145" s="6" t="inlineStr">
        <is>
          <t>Costo ↑</t>
        </is>
      </c>
      <c r="I145" s="6" t="inlineStr">
        <is>
          <t>Costo</t>
        </is>
      </c>
      <c r="J145" s="6" t="inlineStr">
        <is>
          <t>Pasiva</t>
        </is>
      </c>
      <c r="K145" s="6" t="inlineStr">
        <is>
          <t>Pasividad: dejaste caducar la oferta y seguiste a precio de lista: el 6% de ahorro se perdió.</t>
        </is>
      </c>
      <c r="L145" s="4" t="n"/>
      <c r="M145" s="4" t="n"/>
      <c r="N145" s="4" t="n"/>
      <c r="O145" s="6" t="inlineStr">
        <is>
          <t>Your key supplier (32% of cost) offers 6% less for a 3-year contract.</t>
        </is>
      </c>
      <c r="P145" s="6" t="inlineStr">
        <is>
          <t>Offer lapses</t>
        </is>
      </c>
      <c r="Q145" s="6" t="inlineStr">
        <is>
          <t>You keep buying at list price and the offer lapses in 30 days.</t>
        </is>
      </c>
      <c r="R145" s="6" t="inlineStr">
        <is>
          <t>Cost ↑</t>
        </is>
      </c>
      <c r="S145" s="6" t="inlineStr">
        <is>
          <t>Passivity: you let the offer lapse and kept paying list price: the 6% saving was lost.</t>
        </is>
      </c>
      <c r="T145" s="4" t="n"/>
    </row>
    <row r="146" ht="40.5" customHeight="1">
      <c r="A146" s="6" t="inlineStr">
        <is>
          <t>m10c</t>
        </is>
      </c>
      <c r="B146" s="6" t="inlineStr">
        <is>
          <t>Cualquiera</t>
        </is>
      </c>
      <c r="C146" s="6" t="inlineStr">
        <is>
          <t>CLIENTE</t>
        </is>
      </c>
      <c r="D146" s="6" t="inlineStr">
        <is>
          <t>ALIMENTOS</t>
        </is>
      </c>
      <c r="E146" s="6" t="inlineStr">
        <is>
          <t>Un cliente pide 3 dosificadores en comodato para sus plantas nuevas.</t>
        </is>
      </c>
      <c r="F146" s="6" t="inlineStr">
        <is>
          <t>Comodato con mínimo</t>
        </is>
      </c>
      <c r="G146" s="6" t="inlineStr">
        <is>
          <t>Entregas los equipos si compra un mínimo anual y paga el mantenimiento.</t>
        </is>
      </c>
      <c r="H146" s="6" t="inlineStr">
        <is>
          <t>Ventas ↑ · Direct Chg ↓</t>
        </is>
      </c>
      <c r="I146" s="6" t="inlineStr">
        <is>
          <t>Direct Chg</t>
        </is>
      </c>
      <c r="J146" s="6" t="inlineStr">
        <is>
          <t>Equilibrada</t>
        </is>
      </c>
      <c r="K146" s="6" t="inlineStr">
        <is>
          <t>Equilibrada: entregaste los equipos con compra mínima anual y mantención pagada: instalas con retorno claro.</t>
        </is>
      </c>
      <c r="L146" s="4" t="n"/>
      <c r="M146" s="4" t="n"/>
      <c r="N146" s="4" t="n"/>
      <c r="O146" s="6" t="inlineStr">
        <is>
          <t>A client asks for 3 dosing units on loan for its new plants.</t>
        </is>
      </c>
      <c r="P146" s="6" t="inlineStr">
        <is>
          <t>Loan on conditions</t>
        </is>
      </c>
      <c r="Q146" s="6" t="inlineStr">
        <is>
          <t>You lend the units if it commits to yearly purchases and pays the upkeep.</t>
        </is>
      </c>
      <c r="R146" s="6" t="inlineStr">
        <is>
          <t>Sales ↑ · Direct Chg ↓</t>
        </is>
      </c>
      <c r="S146" s="6" t="inlineStr">
        <is>
          <t>Balanced: you supplied the units with a yearly minimum purchase and paid upkeep: clear return.</t>
        </is>
      </c>
      <c r="T146" s="4" t="n"/>
    </row>
    <row r="147" ht="40.5" customHeight="1">
      <c r="A147" s="6" t="inlineStr">
        <is>
          <t>m10c</t>
        </is>
      </c>
      <c r="B147" s="6" t="inlineStr">
        <is>
          <t>Cualquiera</t>
        </is>
      </c>
      <c r="C147" s="6" t="inlineStr">
        <is>
          <t>CLIENTE</t>
        </is>
      </c>
      <c r="D147" s="6" t="inlineStr">
        <is>
          <t>ALIMENTOS</t>
        </is>
      </c>
      <c r="E147" s="6" t="inlineStr">
        <is>
          <t>Un cliente pide 3 dosificadores en comodato para sus plantas nuevas.</t>
        </is>
      </c>
      <c r="F147" s="6" t="inlineStr">
        <is>
          <t>Subir el precio</t>
        </is>
      </c>
      <c r="G147" s="6" t="inlineStr">
        <is>
          <t>Recargas 3% al precio de los insumos y costeas los equipos con eso.</t>
        </is>
      </c>
      <c r="H147" s="6" t="inlineStr">
        <is>
          <t>Ventas ↑</t>
        </is>
      </c>
      <c r="I147" s="6" t="inlineStr">
        <is>
          <t>Ventas</t>
        </is>
      </c>
      <c r="J147" s="6" t="inlineStr">
        <is>
          <t>Atajo</t>
        </is>
      </c>
      <c r="K147" s="6" t="inlineStr">
        <is>
          <t>Atajo: recargaste 3% al precio de los insumos para costear los equipos; el cliente verá el alza en su factura.</t>
        </is>
      </c>
      <c r="L147" s="4" t="n"/>
      <c r="M147" s="4" t="n"/>
      <c r="N147" s="4" t="n"/>
      <c r="O147" s="6" t="inlineStr">
        <is>
          <t>A client asks for 3 dosing units on loan for its new plants.</t>
        </is>
      </c>
      <c r="P147" s="6" t="inlineStr">
        <is>
          <t>Add to the price</t>
        </is>
      </c>
      <c r="Q147" s="6" t="inlineStr">
        <is>
          <t>You add 3% to the price of supplies and fund the units with that.</t>
        </is>
      </c>
      <c r="R147" s="6" t="inlineStr">
        <is>
          <t>Sales ↑</t>
        </is>
      </c>
      <c r="S147" s="6" t="inlineStr">
        <is>
          <t>Shortcut: you added 3% to input prices to pay for the units; the client will see the rise on its invoice.</t>
        </is>
      </c>
      <c r="T147" s="4" t="n"/>
    </row>
    <row r="148" ht="40.5" customHeight="1">
      <c r="A148" s="6" t="inlineStr">
        <is>
          <t>m10c</t>
        </is>
      </c>
      <c r="B148" s="6" t="inlineStr">
        <is>
          <t>Cualquiera</t>
        </is>
      </c>
      <c r="C148" s="6" t="inlineStr">
        <is>
          <t>CLIENTE</t>
        </is>
      </c>
      <c r="D148" s="6" t="inlineStr">
        <is>
          <t>ALIMENTOS</t>
        </is>
      </c>
      <c r="E148" s="6" t="inlineStr">
        <is>
          <t>Un cliente pide 3 dosificadores en comodato para sus plantas nuevas.</t>
        </is>
      </c>
      <c r="F148" s="6" t="inlineStr">
        <is>
          <t>Entregar sin trabas</t>
        </is>
      </c>
      <c r="G148" s="6" t="inlineStr">
        <is>
          <t>Entregas los 3 equipos y asumes la mantención, aunque compre poco.</t>
        </is>
      </c>
      <c r="H148" s="6" t="inlineStr">
        <is>
          <t>Direct Chg ↑</t>
        </is>
      </c>
      <c r="I148" s="6" t="inlineStr">
        <is>
          <t>Direct Chg</t>
        </is>
      </c>
      <c r="J148" s="6" t="inlineStr">
        <is>
          <t>Ceder</t>
        </is>
      </c>
      <c r="K148" s="6" t="inlineStr">
        <is>
          <t>Cesión: entregaste los 3 equipos y asumiste la mantención aunque compre poco: Direct Chg sin ventas.</t>
        </is>
      </c>
      <c r="L148" s="4" t="n"/>
      <c r="M148" s="4" t="n"/>
      <c r="N148" s="4" t="n"/>
      <c r="O148" s="6" t="inlineStr">
        <is>
          <t>A client asks for 3 dosing units on loan for its new plants.</t>
        </is>
      </c>
      <c r="P148" s="6" t="inlineStr">
        <is>
          <t>Hand over freely</t>
        </is>
      </c>
      <c r="Q148" s="6" t="inlineStr">
        <is>
          <t>You hand over the 3 units and cover upkeep even if it buys little.</t>
        </is>
      </c>
      <c r="R148" s="6" t="inlineStr">
        <is>
          <t>Direct Chg ↑</t>
        </is>
      </c>
      <c r="S148" s="6" t="inlineStr">
        <is>
          <t>Concession: you handed over 3 units and took on upkeep even if it buys little: Direct Chg without sales.</t>
        </is>
      </c>
      <c r="T148" s="4" t="n"/>
    </row>
    <row r="149" ht="27" customHeight="1">
      <c r="A149" s="6" t="inlineStr">
        <is>
          <t>m10c</t>
        </is>
      </c>
      <c r="B149" s="6" t="inlineStr">
        <is>
          <t>Cualquiera</t>
        </is>
      </c>
      <c r="C149" s="6" t="inlineStr">
        <is>
          <t>CLIENTE</t>
        </is>
      </c>
      <c r="D149" s="6" t="inlineStr">
        <is>
          <t>ALIMENTOS</t>
        </is>
      </c>
      <c r="E149" s="6" t="inlineStr">
        <is>
          <t>Un cliente pide 3 dosificadores en comodato para sus plantas nuevas.</t>
        </is>
      </c>
      <c r="F149" s="6" t="inlineStr">
        <is>
          <t>Que los compre</t>
        </is>
      </c>
      <c r="G149" s="6" t="inlineStr">
        <is>
          <t>Explicas que el comodato no existe y que compre sus propios equipos.</t>
        </is>
      </c>
      <c r="H149" s="6" t="inlineStr">
        <is>
          <t>Ventas ↓</t>
        </is>
      </c>
      <c r="I149" s="6" t="inlineStr">
        <is>
          <t>Ventas</t>
        </is>
      </c>
      <c r="J149" s="6" t="inlineStr">
        <is>
          <t>Pasiva</t>
        </is>
      </c>
      <c r="K149" s="6" t="inlineStr">
        <is>
          <t>Pasividad: le dijiste que comprara sus propios equipos; el cliente se fue con quien sí los presta.</t>
        </is>
      </c>
      <c r="L149" s="4" t="n"/>
      <c r="M149" s="4" t="n"/>
      <c r="N149" s="4" t="n"/>
      <c r="O149" s="6" t="inlineStr">
        <is>
          <t>A client asks for 3 dosing units on loan for its new plants.</t>
        </is>
      </c>
      <c r="P149" s="6" t="inlineStr">
        <is>
          <t>Buy their own</t>
        </is>
      </c>
      <c r="Q149" s="6" t="inlineStr">
        <is>
          <t>You explain that loans do not exist and that it should buy its own units.</t>
        </is>
      </c>
      <c r="R149" s="6" t="inlineStr">
        <is>
          <t>Sales ↓</t>
        </is>
      </c>
      <c r="S149" s="6" t="inlineStr">
        <is>
          <t>Passivity: you told it to buy its own units; the client went to someone who does lend them.</t>
        </is>
      </c>
      <c r="T149" s="4" t="n"/>
    </row>
    <row r="150" ht="40.5" customHeight="1">
      <c r="A150" s="6" t="inlineStr">
        <is>
          <t>m10p</t>
        </is>
      </c>
      <c r="B150" s="6" t="inlineStr">
        <is>
          <t>8 a 12</t>
        </is>
      </c>
      <c r="C150" s="6" t="inlineStr">
        <is>
          <t>PLANTA</t>
        </is>
      </c>
      <c r="D150" s="6" t="inlineStr">
        <is>
          <t>INDUSTRIA</t>
        </is>
      </c>
      <c r="E150" s="6" t="inlineStr">
        <is>
          <t>El sindicato anuncia 2 días de paro parcial si no hay bono de fin de año.</t>
        </is>
      </c>
      <c r="F150" s="6" t="inlineStr">
        <is>
          <t>Bono por metas</t>
        </is>
      </c>
      <c r="G150" s="6" t="inlineStr">
        <is>
          <t>Pagas un bono variable ligado a metas de planta y seguridad, en 2 cuotas.</t>
        </is>
      </c>
      <c r="H150" s="6" t="inlineStr">
        <is>
          <t>Ventas ↑ · Costo ↑</t>
        </is>
      </c>
      <c r="I150" s="6" t="inlineStr">
        <is>
          <t>Ventas</t>
        </is>
      </c>
      <c r="J150" s="6" t="inlineStr">
        <is>
          <t>Equilibrada</t>
        </is>
      </c>
      <c r="K150" s="6" t="inlineStr">
        <is>
          <t>Equilibrada: ofreciste un bono por metas de planta y seguridad en 2 cuotas: sin paro y con costo variable.</t>
        </is>
      </c>
      <c r="L150" s="4" t="n"/>
      <c r="M150" s="4" t="n"/>
      <c r="N150" s="4" t="n"/>
      <c r="O150" s="6" t="inlineStr">
        <is>
          <t>The union announces a 2-day partial strike if there is no year-end bonus.</t>
        </is>
      </c>
      <c r="P150" s="6" t="inlineStr">
        <is>
          <t>Goal bonus</t>
        </is>
      </c>
      <c r="Q150" s="6" t="inlineStr">
        <is>
          <t>You link a variable bonus to plant and safety goals, in 2 installments.</t>
        </is>
      </c>
      <c r="R150" s="6" t="inlineStr">
        <is>
          <t>Sales ↑ · Cost ↑</t>
        </is>
      </c>
      <c r="S150" s="6" t="inlineStr">
        <is>
          <t>Balanced: you offered a bonus on plant and safety targets in 2 installments: no strike, variable cost.</t>
        </is>
      </c>
      <c r="T150" s="4" t="n"/>
    </row>
    <row r="151" ht="40.5" customHeight="1">
      <c r="A151" s="6" t="inlineStr">
        <is>
          <t>m10p</t>
        </is>
      </c>
      <c r="B151" s="6" t="inlineStr">
        <is>
          <t>8 a 12</t>
        </is>
      </c>
      <c r="C151" s="6" t="inlineStr">
        <is>
          <t>PLANTA</t>
        </is>
      </c>
      <c r="D151" s="6" t="inlineStr">
        <is>
          <t>INDUSTRIA</t>
        </is>
      </c>
      <c r="E151" s="6" t="inlineStr">
        <is>
          <t>El sindicato anuncia 2 días de paro parcial si no hay bono de fin de año.</t>
        </is>
      </c>
      <c r="F151" s="6" t="inlineStr">
        <is>
          <t>Cubrir con extras</t>
        </is>
      </c>
      <c r="G151" s="6" t="inlineStr">
        <is>
          <t>Cubres los 2 días con supervisores y evitas hablar con el sindicato.</t>
        </is>
      </c>
      <c r="H151" s="6" t="inlineStr">
        <is>
          <t>Ventas ↑ · Costo ↓</t>
        </is>
      </c>
      <c r="I151" s="6" t="inlineStr">
        <is>
          <t>Costo</t>
        </is>
      </c>
      <c r="J151" s="6" t="inlineStr">
        <is>
          <t>Atajo</t>
        </is>
      </c>
      <c r="K151" s="6" t="inlineStr">
        <is>
          <t>Atajo: cubriste los 2 días con supervisores y evitaste hablar con el sindicato; el conflicto sigue abierto.</t>
        </is>
      </c>
      <c r="L151" s="4" t="n"/>
      <c r="M151" s="4" t="n"/>
      <c r="N151" s="4" t="n"/>
      <c r="O151" s="6" t="inlineStr">
        <is>
          <t>The union announces a 2-day partial strike if there is no year-end bonus.</t>
        </is>
      </c>
      <c r="P151" s="6" t="inlineStr">
        <is>
          <t>Cover with overtime</t>
        </is>
      </c>
      <c r="Q151" s="6" t="inlineStr">
        <is>
          <t>You cover the 2 days with supervisors and avoid talking to the union.</t>
        </is>
      </c>
      <c r="R151" s="6" t="inlineStr">
        <is>
          <t>Sales ↑ · Cost ↓</t>
        </is>
      </c>
      <c r="S151" s="6" t="inlineStr">
        <is>
          <t>Shortcut: you covered the 2 days with supervisors and avoided the union; the conflict stays open.</t>
        </is>
      </c>
      <c r="T151" s="4" t="n"/>
    </row>
    <row r="152" ht="40.5" customHeight="1">
      <c r="A152" s="6" t="inlineStr">
        <is>
          <t>m10p</t>
        </is>
      </c>
      <c r="B152" s="6" t="inlineStr">
        <is>
          <t>8 a 12</t>
        </is>
      </c>
      <c r="C152" s="6" t="inlineStr">
        <is>
          <t>PLANTA</t>
        </is>
      </c>
      <c r="D152" s="6" t="inlineStr">
        <is>
          <t>INDUSTRIA</t>
        </is>
      </c>
      <c r="E152" s="6" t="inlineStr">
        <is>
          <t>El sindicato anuncia 2 días de paro parcial si no hay bono de fin de año.</t>
        </is>
      </c>
      <c r="F152" s="6" t="inlineStr">
        <is>
          <t>Pagar el bono</t>
        </is>
      </c>
      <c r="G152" s="6" t="inlineStr">
        <is>
          <t>Pagas el bono fijo que exigen y evitas el paro, aunque salga caro cada año.</t>
        </is>
      </c>
      <c r="H152" s="6" t="inlineStr">
        <is>
          <t>Costo ↑</t>
        </is>
      </c>
      <c r="I152" s="6" t="inlineStr">
        <is>
          <t>Costo</t>
        </is>
      </c>
      <c r="J152" s="6" t="inlineStr">
        <is>
          <t>Ceder</t>
        </is>
      </c>
      <c r="K152" s="6" t="inlineStr">
        <is>
          <t>Cesión: pagaste el bono fijo que exigían: sin paro, pero el costo de mano de obra sube cada año.</t>
        </is>
      </c>
      <c r="L152" s="4" t="n"/>
      <c r="M152" s="4" t="n"/>
      <c r="N152" s="4" t="n"/>
      <c r="O152" s="6" t="inlineStr">
        <is>
          <t>The union announces a 2-day partial strike if there is no year-end bonus.</t>
        </is>
      </c>
      <c r="P152" s="6" t="inlineStr">
        <is>
          <t>Meet the demand</t>
        </is>
      </c>
      <c r="Q152" s="6" t="inlineStr">
        <is>
          <t>You give in on the fixed bonus they demand and avoid a costly strike.</t>
        </is>
      </c>
      <c r="R152" s="6" t="inlineStr">
        <is>
          <t>Cost ↑</t>
        </is>
      </c>
      <c r="S152" s="6" t="inlineStr">
        <is>
          <t>Concession: you paid the fixed bonus they demanded: no strike, but labor cost rises every year.</t>
        </is>
      </c>
      <c r="T152" s="4" t="n"/>
    </row>
    <row r="153" ht="40.5" customHeight="1">
      <c r="A153" s="6" t="inlineStr">
        <is>
          <t>m10p</t>
        </is>
      </c>
      <c r="B153" s="6" t="inlineStr">
        <is>
          <t>8 a 12</t>
        </is>
      </c>
      <c r="C153" s="6" t="inlineStr">
        <is>
          <t>PLANTA</t>
        </is>
      </c>
      <c r="D153" s="6" t="inlineStr">
        <is>
          <t>INDUSTRIA</t>
        </is>
      </c>
      <c r="E153" s="6" t="inlineStr">
        <is>
          <t>El sindicato anuncia 2 días de paro parcial si no hay bono de fin de año.</t>
        </is>
      </c>
      <c r="F153" s="6" t="inlineStr">
        <is>
          <t>Dejar que avance</t>
        </is>
      </c>
      <c r="G153" s="6" t="inlineStr">
        <is>
          <t>Ignoras el anuncio y ves si el paro sigue adelante o se diluye.</t>
        </is>
      </c>
      <c r="H153" s="6" t="inlineStr">
        <is>
          <t>Ventas ↓</t>
        </is>
      </c>
      <c r="I153" s="6" t="inlineStr">
        <is>
          <t>Ventas</t>
        </is>
      </c>
      <c r="J153" s="6" t="inlineStr">
        <is>
          <t>Pasiva</t>
        </is>
      </c>
      <c r="K153" s="6" t="inlineStr">
        <is>
          <t>Pasividad: ignoraste el anuncio y el paro ocurrió: esos 2 días no salieron pedidos.</t>
        </is>
      </c>
      <c r="L153" s="4" t="n"/>
      <c r="M153" s="4" t="n"/>
      <c r="N153" s="4" t="n"/>
      <c r="O153" s="6" t="inlineStr">
        <is>
          <t>The union announces a 2-day partial strike if there is no year-end bonus.</t>
        </is>
      </c>
      <c r="P153" s="6" t="inlineStr">
        <is>
          <t>Ignore the notice</t>
        </is>
      </c>
      <c r="Q153" s="6" t="inlineStr">
        <is>
          <t>You brush off the announcement and see if the strike goes ahead or fades.</t>
        </is>
      </c>
      <c r="R153" s="6" t="inlineStr">
        <is>
          <t>Sales ↓</t>
        </is>
      </c>
      <c r="S153" s="6" t="inlineStr">
        <is>
          <t>Passivity: you ignored the announcement and the strike happened: no orders shipped those 2 days.</t>
        </is>
      </c>
      <c r="T153" s="4" t="n"/>
    </row>
    <row r="154" ht="40.5" customHeight="1">
      <c r="A154" s="6" t="inlineStr">
        <is>
          <t>m10e</t>
        </is>
      </c>
      <c r="B154" s="6" t="inlineStr">
        <is>
          <t>Cualquiera</t>
        </is>
      </c>
      <c r="C154" s="6" t="inlineStr">
        <is>
          <t>ENTORNO</t>
        </is>
      </c>
      <c r="D154" s="6" t="inlineStr">
        <is>
          <t>ALIMENTOS</t>
        </is>
      </c>
      <c r="E154" s="6" t="inlineStr">
        <is>
          <t>Una sequía recorta 20% el agua de tu planta y no cubre todos los pedidos.</t>
        </is>
      </c>
      <c r="F154" s="6" t="inlineStr">
        <is>
          <t>Pedidos rentables</t>
        </is>
      </c>
      <c r="G154" s="6" t="inlineStr">
        <is>
          <t>Asignas el volumen a los pedidos que más rinden y avisas al resto.</t>
        </is>
      </c>
      <c r="H154" s="6" t="inlineStr">
        <is>
          <t>Ventas ↓ · Costo ↓</t>
        </is>
      </c>
      <c r="I154" s="6" t="inlineStr">
        <is>
          <t>Costo</t>
        </is>
      </c>
      <c r="J154" s="6" t="inlineStr">
        <is>
          <t>Equilibrada</t>
        </is>
      </c>
      <c r="K154" s="6" t="inlineStr">
        <is>
          <t>Equilibrada: asignaste el agua a los pedidos que más rinden y avisaste al resto: menos volumen, más margen.</t>
        </is>
      </c>
      <c r="L154" s="4" t="n"/>
      <c r="M154" s="4" t="n"/>
      <c r="N154" s="4" t="n"/>
      <c r="O154" s="6" t="inlineStr">
        <is>
          <t>A drought cuts your plant's water 20% and orders cannot all be covered.</t>
        </is>
      </c>
      <c r="P154" s="6" t="inlineStr">
        <is>
          <t>Profitable orders</t>
        </is>
      </c>
      <c r="Q154" s="6" t="inlineStr">
        <is>
          <t>You allocate output to the orders that pay best and tell the others.</t>
        </is>
      </c>
      <c r="R154" s="6" t="inlineStr">
        <is>
          <t>Sales ↓ · Cost ↓</t>
        </is>
      </c>
      <c r="S154" s="6" t="inlineStr">
        <is>
          <t>Balanced: you gave water to the orders that pay best and warned the rest: less volume, more margin.</t>
        </is>
      </c>
      <c r="T154" s="4" t="n"/>
    </row>
    <row r="155" ht="40.5" customHeight="1">
      <c r="A155" s="6" t="inlineStr">
        <is>
          <t>m10e</t>
        </is>
      </c>
      <c r="B155" s="6" t="inlineStr">
        <is>
          <t>Cualquiera</t>
        </is>
      </c>
      <c r="C155" s="6" t="inlineStr">
        <is>
          <t>ENTORNO</t>
        </is>
      </c>
      <c r="D155" s="6" t="inlineStr">
        <is>
          <t>ALIMENTOS</t>
        </is>
      </c>
      <c r="E155" s="6" t="inlineStr">
        <is>
          <t>Una sequía recorta 20% el agua de tu planta y no cubre todos los pedidos.</t>
        </is>
      </c>
      <c r="F155" s="6" t="inlineStr">
        <is>
          <t>Recargo por escasez</t>
        </is>
      </c>
      <c r="G155" s="6" t="inlineStr">
        <is>
          <t>Impones un recargo de 10% por escasez, incluso a pedidos ya cotizados.</t>
        </is>
      </c>
      <c r="H155" s="6" t="inlineStr">
        <is>
          <t>Ventas ↑</t>
        </is>
      </c>
      <c r="I155" s="6" t="inlineStr">
        <is>
          <t>Ventas</t>
        </is>
      </c>
      <c r="J155" s="6" t="inlineStr">
        <is>
          <t>Atajo</t>
        </is>
      </c>
      <c r="K155" s="6" t="inlineStr">
        <is>
          <t>Atajo: el recargo de 10% por escasez sube el ingreso hoy, pero incluso a pedidos ya cotizados.</t>
        </is>
      </c>
      <c r="L155" s="4" t="n"/>
      <c r="M155" s="4" t="n"/>
      <c r="N155" s="4" t="n"/>
      <c r="O155" s="6" t="inlineStr">
        <is>
          <t>A drought cuts your plant's water 20% and orders cannot all be covered.</t>
        </is>
      </c>
      <c r="P155" s="6" t="inlineStr">
        <is>
          <t>Scarcity surcharge</t>
        </is>
      </c>
      <c r="Q155" s="6" t="inlineStr">
        <is>
          <t>You impose a 10% scarcity surcharge, even on orders already quoted.</t>
        </is>
      </c>
      <c r="R155" s="6" t="inlineStr">
        <is>
          <t>Sales ↑</t>
        </is>
      </c>
      <c r="S155" s="6" t="inlineStr">
        <is>
          <t>Shortcut: the 10% scarcity surcharge lifts income today, but also on orders already quoted.</t>
        </is>
      </c>
      <c r="T155" s="4" t="n"/>
    </row>
    <row r="156" ht="40.5" customHeight="1">
      <c r="A156" s="6" t="inlineStr">
        <is>
          <t>m10e</t>
        </is>
      </c>
      <c r="B156" s="6" t="inlineStr">
        <is>
          <t>Cualquiera</t>
        </is>
      </c>
      <c r="C156" s="6" t="inlineStr">
        <is>
          <t>ENTORNO</t>
        </is>
      </c>
      <c r="D156" s="6" t="inlineStr">
        <is>
          <t>ALIMENTOS</t>
        </is>
      </c>
      <c r="E156" s="6" t="inlineStr">
        <is>
          <t>Una sequía recorta 20% el agua de tu planta y no cubre todos los pedidos.</t>
        </is>
      </c>
      <c r="F156" s="6" t="inlineStr">
        <is>
          <t>Camiones aljibe</t>
        </is>
      </c>
      <c r="G156" s="6" t="inlineStr">
        <is>
          <t>Contratas camiones aljibe para abastecer a todos, cueste lo que cueste.</t>
        </is>
      </c>
      <c r="H156" s="6" t="inlineStr">
        <is>
          <t>Costo ↑</t>
        </is>
      </c>
      <c r="I156" s="6" t="inlineStr">
        <is>
          <t>Costo</t>
        </is>
      </c>
      <c r="J156" s="6" t="inlineStr">
        <is>
          <t>Ceder</t>
        </is>
      </c>
      <c r="K156" s="6" t="inlineStr">
        <is>
          <t>Cesión: los camiones aljibe abastecieron a todos: ninguna venta se perdió y el costo del agua se disparó.</t>
        </is>
      </c>
      <c r="L156" s="4" t="n"/>
      <c r="M156" s="4" t="n"/>
      <c r="N156" s="4" t="n"/>
      <c r="O156" s="6" t="inlineStr">
        <is>
          <t>A drought cuts your plant's water 20% and orders cannot all be covered.</t>
        </is>
      </c>
      <c r="P156" s="6" t="inlineStr">
        <is>
          <t>Water trucks</t>
        </is>
      </c>
      <c r="Q156" s="6" t="inlineStr">
        <is>
          <t>You hire water tankers to supply everyone, whatever it costs.</t>
        </is>
      </c>
      <c r="R156" s="6" t="inlineStr">
        <is>
          <t>Cost ↑</t>
        </is>
      </c>
      <c r="S156" s="6" t="inlineStr">
        <is>
          <t>Concession: water trucks supplied everyone: no sale was lost and the water cost soared.</t>
        </is>
      </c>
      <c r="T156" s="4" t="n"/>
    </row>
    <row r="157" ht="40.5" customHeight="1">
      <c r="A157" s="6" t="inlineStr">
        <is>
          <t>m10e</t>
        </is>
      </c>
      <c r="B157" s="6" t="inlineStr">
        <is>
          <t>Cualquiera</t>
        </is>
      </c>
      <c r="C157" s="6" t="inlineStr">
        <is>
          <t>ENTORNO</t>
        </is>
      </c>
      <c r="D157" s="6" t="inlineStr">
        <is>
          <t>ALIMENTOS</t>
        </is>
      </c>
      <c r="E157" s="6" t="inlineStr">
        <is>
          <t>Una sequía recorta 20% el agua de tu planta y no cubre todos los pedidos.</t>
        </is>
      </c>
      <c r="F157" s="6" t="inlineStr">
        <is>
          <t>Orden de llegada</t>
        </is>
      </c>
      <c r="G157" s="6" t="inlineStr">
        <is>
          <t>Operas con el agua disponible y entregas los pedidos según lleguen.</t>
        </is>
      </c>
      <c r="H157" s="6" t="inlineStr">
        <is>
          <t>Ventas ↓</t>
        </is>
      </c>
      <c r="I157" s="6" t="inlineStr">
        <is>
          <t>Ventas</t>
        </is>
      </c>
      <c r="J157" s="6" t="inlineStr">
        <is>
          <t>Pasiva</t>
        </is>
      </c>
      <c r="K157" s="6" t="inlineStr">
        <is>
          <t>Pasividad: entregaste por orden de llegada: se cubrieron pedidos de poco margen y se perdieron los mejores.</t>
        </is>
      </c>
      <c r="L157" s="4" t="n"/>
      <c r="M157" s="4" t="n"/>
      <c r="N157" s="4" t="n"/>
      <c r="O157" s="6" t="inlineStr">
        <is>
          <t>A drought cuts your plant's water 20% and orders cannot all be covered.</t>
        </is>
      </c>
      <c r="P157" s="6" t="inlineStr">
        <is>
          <t>Order of arrival</t>
        </is>
      </c>
      <c r="Q157" s="6" t="inlineStr">
        <is>
          <t>You run on the water available and ship orders as they come in.</t>
        </is>
      </c>
      <c r="R157" s="6" t="inlineStr">
        <is>
          <t>Sales ↓</t>
        </is>
      </c>
      <c r="S157" s="6" t="inlineStr">
        <is>
          <t>Passivity: you delivered in order of arrival: low-margin orders were covered and the best were lost.</t>
        </is>
      </c>
      <c r="T157" s="4" t="n"/>
    </row>
    <row r="158" ht="40.5" customHeight="1">
      <c r="A158" s="6" t="inlineStr">
        <is>
          <t>m10s</t>
        </is>
      </c>
      <c r="B158" s="6" t="inlineStr">
        <is>
          <t>9 a 12</t>
        </is>
      </c>
      <c r="C158" s="6" t="inlineStr">
        <is>
          <t>ESTRATEGIA</t>
        </is>
      </c>
      <c r="D158" s="6" t="inlineStr">
        <is>
          <t>HOSPITALES</t>
        </is>
      </c>
      <c r="E158" s="6" t="inlineStr">
        <is>
          <t>La feria anual cuesta 0,5 en stand y viajes, y 6 de tus clientes no irán.</t>
        </is>
      </c>
      <c r="F158" s="6" t="inlineStr">
        <is>
          <t>Ir con citas</t>
        </is>
      </c>
      <c r="G158" s="6" t="inlineStr">
        <is>
          <t>Vas con un stand pequeño y 15 citas ya agendadas con clientes.</t>
        </is>
      </c>
      <c r="H158" s="6" t="inlineStr">
        <is>
          <t>Ventas ↑ · SG&amp;A ↓</t>
        </is>
      </c>
      <c r="I158" s="6" t="inlineStr">
        <is>
          <t>SG&amp;A</t>
        </is>
      </c>
      <c r="J158" s="6" t="inlineStr">
        <is>
          <t>Equilibrada</t>
        </is>
      </c>
      <c r="K158" s="6" t="inlineStr">
        <is>
          <t>Equilibrada: fuiste con stand pequeño y 15 citas agendadas: menos SG&amp;A y reuniones que valen la pena.</t>
        </is>
      </c>
      <c r="L158" s="4" t="n"/>
      <c r="M158" s="4" t="n"/>
      <c r="N158" s="4" t="n"/>
      <c r="O158" s="6" t="inlineStr">
        <is>
          <t>The annual fair costs 0.5 in booth and travel, and 6 of your clients skip it.</t>
        </is>
      </c>
      <c r="P158" s="6" t="inlineStr">
        <is>
          <t>Go with meetings</t>
        </is>
      </c>
      <c r="Q158" s="6" t="inlineStr">
        <is>
          <t>You go with a small booth and 15 meetings already booked with clients.</t>
        </is>
      </c>
      <c r="R158" s="6" t="inlineStr">
        <is>
          <t>Sales ↑ · SG&amp;A ↓</t>
        </is>
      </c>
      <c r="S158" s="6" t="inlineStr">
        <is>
          <t>Balanced: you went with a small booth and 15 booked meetings: less SG&amp;A and meetings worth having.</t>
        </is>
      </c>
      <c r="T158" s="4" t="n"/>
    </row>
    <row r="159" ht="40.5" customHeight="1">
      <c r="A159" s="6" t="inlineStr">
        <is>
          <t>m10s</t>
        </is>
      </c>
      <c r="B159" s="6" t="inlineStr">
        <is>
          <t>9 a 12</t>
        </is>
      </c>
      <c r="C159" s="6" t="inlineStr">
        <is>
          <t>ESTRATEGIA</t>
        </is>
      </c>
      <c r="D159" s="6" t="inlineStr">
        <is>
          <t>HOSPITALES</t>
        </is>
      </c>
      <c r="E159" s="6" t="inlineStr">
        <is>
          <t>La feria anual cuesta 0,5 en stand y viajes, y 6 de tus clientes no irán.</t>
        </is>
      </c>
      <c r="F159" s="6" t="inlineStr">
        <is>
          <t>Descuento de feria</t>
        </is>
      </c>
      <c r="G159" s="6" t="inlineStr">
        <is>
          <t>Das 5% a visitantes que firmen en feria, aunque ya compraban antes.</t>
        </is>
      </c>
      <c r="H159" s="6" t="inlineStr">
        <is>
          <t>Ventas ↑ · Incentivos ↑</t>
        </is>
      </c>
      <c r="I159" s="6" t="inlineStr">
        <is>
          <t>Ventas</t>
        </is>
      </c>
      <c r="J159" s="6" t="inlineStr">
        <is>
          <t>Atajo</t>
        </is>
      </c>
      <c r="K159" s="6" t="inlineStr">
        <is>
          <t>Atajo: diste 5% a visitantes que firmaron en la feria aunque ya compraban: regalaste margen seguro.</t>
        </is>
      </c>
      <c r="L159" s="4" t="n"/>
      <c r="M159" s="4" t="n"/>
      <c r="N159" s="4" t="n"/>
      <c r="O159" s="6" t="inlineStr">
        <is>
          <t>The annual fair costs 0.5 in booth and travel, and 6 of your clients skip it.</t>
        </is>
      </c>
      <c r="P159" s="6" t="inlineStr">
        <is>
          <t>Fair discount</t>
        </is>
      </c>
      <c r="Q159" s="6" t="inlineStr">
        <is>
          <t>You give 5% to visitors who sign at the fair, though they already bought.</t>
        </is>
      </c>
      <c r="R159" s="6" t="inlineStr">
        <is>
          <t>Sales ↑ · Incentives ↑</t>
        </is>
      </c>
      <c r="S159" s="6" t="inlineStr">
        <is>
          <t>Shortcut: you gave 5% to fair visitors who signed, though they already bought: margin given away.</t>
        </is>
      </c>
      <c r="T159" s="4" t="n"/>
    </row>
    <row r="160" ht="40.5" customHeight="1">
      <c r="A160" s="6" t="inlineStr">
        <is>
          <t>m10s</t>
        </is>
      </c>
      <c r="B160" s="6" t="inlineStr">
        <is>
          <t>9 a 12</t>
        </is>
      </c>
      <c r="C160" s="6" t="inlineStr">
        <is>
          <t>ESTRATEGIA</t>
        </is>
      </c>
      <c r="D160" s="6" t="inlineStr">
        <is>
          <t>HOSPITALES</t>
        </is>
      </c>
      <c r="E160" s="6" t="inlineStr">
        <is>
          <t>La feria anual cuesta 0,5 en stand y viajes, y 6 de tus clientes no irán.</t>
        </is>
      </c>
      <c r="F160" s="6" t="inlineStr">
        <is>
          <t>Stand grande</t>
        </is>
      </c>
      <c r="G160" s="6" t="inlineStr">
        <is>
          <t>Reservas el stand grande que pide Marketing para no quedar atrás.</t>
        </is>
      </c>
      <c r="H160" s="6" t="inlineStr">
        <is>
          <t>SG&amp;A ↑</t>
        </is>
      </c>
      <c r="I160" s="6" t="inlineStr">
        <is>
          <t>SG&amp;A</t>
        </is>
      </c>
      <c r="J160" s="6" t="inlineStr">
        <is>
          <t>Ceder</t>
        </is>
      </c>
      <c r="K160" s="6" t="inlineStr">
        <is>
          <t>Cesión: reservaste el stand grande que pedía Marketing: el SG&amp;A sube sin más clientes que atender.</t>
        </is>
      </c>
      <c r="L160" s="4" t="n"/>
      <c r="M160" s="4" t="n"/>
      <c r="N160" s="4" t="n"/>
      <c r="O160" s="6" t="inlineStr">
        <is>
          <t>The annual fair costs 0.5 in booth and travel, and 6 of your clients skip it.</t>
        </is>
      </c>
      <c r="P160" s="6" t="inlineStr">
        <is>
          <t>Big booth</t>
        </is>
      </c>
      <c r="Q160" s="6" t="inlineStr">
        <is>
          <t>You book the big booth that Marketing wants so as not to fall behind.</t>
        </is>
      </c>
      <c r="R160" s="6" t="inlineStr">
        <is>
          <t>SG&amp;A ↑</t>
        </is>
      </c>
      <c r="S160" s="6" t="inlineStr">
        <is>
          <t>Concession: you booked the big booth Marketing asked for: the SG&amp;A rises with no more clients to serve.</t>
        </is>
      </c>
      <c r="T160" s="4" t="n"/>
    </row>
    <row r="161" ht="40.5" customHeight="1">
      <c r="A161" s="6" t="inlineStr">
        <is>
          <t>m10s</t>
        </is>
      </c>
      <c r="B161" s="6" t="inlineStr">
        <is>
          <t>9 a 12</t>
        </is>
      </c>
      <c r="C161" s="6" t="inlineStr">
        <is>
          <t>ESTRATEGIA</t>
        </is>
      </c>
      <c r="D161" s="6" t="inlineStr">
        <is>
          <t>HOSPITALES</t>
        </is>
      </c>
      <c r="E161" s="6" t="inlineStr">
        <is>
          <t>La feria anual cuesta 0,5 en stand y viajes, y 6 de tus clientes no irán.</t>
        </is>
      </c>
      <c r="F161" s="6" t="inlineStr">
        <is>
          <t>Repetir el stand</t>
        </is>
      </c>
      <c r="G161" s="6" t="inlineStr">
        <is>
          <t>Repites el stand del año pasado, con el mismo equipo y presupuesto.</t>
        </is>
      </c>
      <c r="H161" s="6" t="inlineStr">
        <is>
          <t>SG&amp;A ↑</t>
        </is>
      </c>
      <c r="I161" s="6" t="inlineStr">
        <is>
          <t>SG&amp;A</t>
        </is>
      </c>
      <c r="J161" s="6" t="inlineStr">
        <is>
          <t>Pasiva</t>
        </is>
      </c>
      <c r="K161" s="6" t="inlineStr">
        <is>
          <t>Pasividad: repetiste el stand del año pasado con el mismo presupuesto, aunque 6 clientes no irán.</t>
        </is>
      </c>
      <c r="L161" s="4" t="n"/>
      <c r="M161" s="4" t="n"/>
      <c r="N161" s="4" t="n"/>
      <c r="O161" s="6" t="inlineStr">
        <is>
          <t>The annual fair costs 0.5 in booth and travel, and 6 of your clients skip it.</t>
        </is>
      </c>
      <c r="P161" s="6" t="inlineStr">
        <is>
          <t>Repeat the booth</t>
        </is>
      </c>
      <c r="Q161" s="6" t="inlineStr">
        <is>
          <t>You repeat last year's booth, with the same team and budget.</t>
        </is>
      </c>
      <c r="R161" s="6" t="inlineStr">
        <is>
          <t>SG&amp;A ↑</t>
        </is>
      </c>
      <c r="S161" s="6" t="inlineStr">
        <is>
          <t>Passivity: you repeated last year booth on the same budget, even though 6 clients will not go.</t>
        </is>
      </c>
      <c r="T161" s="4" t="n"/>
    </row>
    <row r="162" ht="40.5" customHeight="1">
      <c r="A162" s="6" t="inlineStr">
        <is>
          <t>m11c</t>
        </is>
      </c>
      <c r="B162" s="6" t="inlineStr">
        <is>
          <t>Cualquiera</t>
        </is>
      </c>
      <c r="C162" s="6" t="inlineStr">
        <is>
          <t>CLIENTE</t>
        </is>
      </c>
      <c r="D162" s="6" t="inlineStr">
        <is>
          <t>INDUSTRIA</t>
        </is>
      </c>
      <c r="E162" s="6" t="inlineStr">
        <is>
          <t>Un cliente objeta 3% de cargos en 4 facturas, pero sigue comprando.</t>
        </is>
      </c>
      <c r="F162" s="6" t="inlineStr">
        <is>
          <t>Revisar cada cargo</t>
        </is>
      </c>
      <c r="G162" s="6" t="inlineStr">
        <is>
          <t>Revisas las 4 facturas con el cliente y arreglas lo que esté mal.</t>
        </is>
      </c>
      <c r="H162" s="6" t="inlineStr">
        <is>
          <t>Ventas ↑ · Direct Chg ↑</t>
        </is>
      </c>
      <c r="I162" s="6" t="inlineStr">
        <is>
          <t>Ventas</t>
        </is>
      </c>
      <c r="J162" s="6" t="inlineStr">
        <is>
          <t>Equilibrada</t>
        </is>
      </c>
      <c r="K162" s="6" t="inlineStr">
        <is>
          <t>Equilibrada: revisaste las 4 facturas con el cliente y corregiste solo lo que estaba mal: se paga lo justo.</t>
        </is>
      </c>
      <c r="L162" s="4" t="n"/>
      <c r="M162" s="4" t="n"/>
      <c r="N162" s="4" t="n"/>
      <c r="O162" s="6" t="inlineStr">
        <is>
          <t>A client disputes 3% of charges on 4 invoices, but keeps buying.</t>
        </is>
      </c>
      <c r="P162" s="6" t="inlineStr">
        <is>
          <t>Check each charge</t>
        </is>
      </c>
      <c r="Q162" s="6" t="inlineStr">
        <is>
          <t>You check the 4 invoices with the client and correct any error.</t>
        </is>
      </c>
      <c r="R162" s="6" t="inlineStr">
        <is>
          <t>Sales ↑ · Direct Chg ↑</t>
        </is>
      </c>
      <c r="S162" s="6" t="inlineStr">
        <is>
          <t>Balanced: you reviewed the 4 invoices with the client and fixed only what was wrong: you are paid what is fair.</t>
        </is>
      </c>
      <c r="T162" s="4" t="n"/>
    </row>
    <row r="163" ht="40.5" customHeight="1">
      <c r="A163" s="6" t="inlineStr">
        <is>
          <t>m11c</t>
        </is>
      </c>
      <c r="B163" s="6" t="inlineStr">
        <is>
          <t>Cualquiera</t>
        </is>
      </c>
      <c r="C163" s="6" t="inlineStr">
        <is>
          <t>CLIENTE</t>
        </is>
      </c>
      <c r="D163" s="6" t="inlineStr">
        <is>
          <t>INDUSTRIA</t>
        </is>
      </c>
      <c r="E163" s="6" t="inlineStr">
        <is>
          <t>Un cliente objeta 3% de cargos en 4 facturas, pero sigue comprando.</t>
        </is>
      </c>
      <c r="F163" s="6" t="inlineStr">
        <is>
          <t>Cargos al precio</t>
        </is>
      </c>
      <c r="G163" s="6" t="inlineStr">
        <is>
          <t>Prorrateas esos cargos dentro del precio de lista de las facturas siguientes.</t>
        </is>
      </c>
      <c r="H163" s="6" t="inlineStr">
        <is>
          <t>Ventas ↑</t>
        </is>
      </c>
      <c r="I163" s="6" t="inlineStr">
        <is>
          <t>Ventas</t>
        </is>
      </c>
      <c r="J163" s="6" t="inlineStr">
        <is>
          <t>Atajo</t>
        </is>
      </c>
      <c r="K163" s="6" t="inlineStr">
        <is>
          <t>Atajo: prorrateaste esos cargos en el precio de lista de las próximas facturas; el cliente lo verá después.</t>
        </is>
      </c>
      <c r="L163" s="4" t="n"/>
      <c r="M163" s="4" t="n"/>
      <c r="N163" s="4" t="n"/>
      <c r="O163" s="6" t="inlineStr">
        <is>
          <t>A client disputes 3% of charges on 4 invoices, but keeps buying.</t>
        </is>
      </c>
      <c r="P163" s="6" t="inlineStr">
        <is>
          <t>Charges into price</t>
        </is>
      </c>
      <c r="Q163" s="6" t="inlineStr">
        <is>
          <t>You spread those charges inside the list price of the next invoices.</t>
        </is>
      </c>
      <c r="R163" s="6" t="inlineStr">
        <is>
          <t>Sales ↑</t>
        </is>
      </c>
      <c r="S163" s="6" t="inlineStr">
        <is>
          <t>Shortcut: you folded those charges into the list price of next invoices; the client will notice.</t>
        </is>
      </c>
      <c r="T163" s="4" t="n"/>
    </row>
    <row r="164" ht="40.5" customHeight="1">
      <c r="A164" s="6" t="inlineStr">
        <is>
          <t>m11c</t>
        </is>
      </c>
      <c r="B164" s="6" t="inlineStr">
        <is>
          <t>Cualquiera</t>
        </is>
      </c>
      <c r="C164" s="6" t="inlineStr">
        <is>
          <t>CLIENTE</t>
        </is>
      </c>
      <c r="D164" s="6" t="inlineStr">
        <is>
          <t>INDUSTRIA</t>
        </is>
      </c>
      <c r="E164" s="6" t="inlineStr">
        <is>
          <t>Un cliente objeta 3% de cargos en 4 facturas, pero sigue comprando.</t>
        </is>
      </c>
      <c r="F164" s="6" t="inlineStr">
        <is>
          <t>Nota de crédito</t>
        </is>
      </c>
      <c r="G164" s="6" t="inlineStr">
        <is>
          <t>Emites notas de crédito por el 3% de las 4 facturas y cierras el tema.</t>
        </is>
      </c>
      <c r="H164" s="6" t="inlineStr">
        <is>
          <t>Incentivos ↑</t>
        </is>
      </c>
      <c r="I164" s="6" t="inlineStr">
        <is>
          <t>Incentivos</t>
        </is>
      </c>
      <c r="J164" s="6" t="inlineStr">
        <is>
          <t>Ceder</t>
        </is>
      </c>
      <c r="K164" s="6" t="inlineStr">
        <is>
          <t>Cesión: emitiste notas de crédito por el 3% de las 4 facturas: cierras el tema y el margen cede por completo.</t>
        </is>
      </c>
      <c r="L164" s="4" t="n"/>
      <c r="M164" s="4" t="n"/>
      <c r="N164" s="4" t="n"/>
      <c r="O164" s="6" t="inlineStr">
        <is>
          <t>A client disputes 3% of charges on 4 invoices, but keeps buying.</t>
        </is>
      </c>
      <c r="P164" s="6" t="inlineStr">
        <is>
          <t>Credit note</t>
        </is>
      </c>
      <c r="Q164" s="6" t="inlineStr">
        <is>
          <t>You issue credit notes for 3% of the 4 invoices and close the matter.</t>
        </is>
      </c>
      <c r="R164" s="6" t="inlineStr">
        <is>
          <t>Incentives ↑</t>
        </is>
      </c>
      <c r="S164" s="6" t="inlineStr">
        <is>
          <t>Concession: you issued credit notes for the 3% on all 4 invoices: closed, but margin gives way.</t>
        </is>
      </c>
      <c r="T164" s="4" t="n"/>
    </row>
    <row r="165" ht="40.5" customHeight="1">
      <c r="A165" s="6" t="inlineStr">
        <is>
          <t>m11c</t>
        </is>
      </c>
      <c r="B165" s="6" t="inlineStr">
        <is>
          <t>Cualquiera</t>
        </is>
      </c>
      <c r="C165" s="6" t="inlineStr">
        <is>
          <t>CLIENTE</t>
        </is>
      </c>
      <c r="D165" s="6" t="inlineStr">
        <is>
          <t>INDUSTRIA</t>
        </is>
      </c>
      <c r="E165" s="6" t="inlineStr">
        <is>
          <t>Un cliente objeta 3% de cargos en 4 facturas, pero sigue comprando.</t>
        </is>
      </c>
      <c r="F165" s="6" t="inlineStr">
        <is>
          <t>Dejar abierta</t>
        </is>
      </c>
      <c r="G165" s="6" t="inlineStr">
        <is>
          <t>Mantienes abierta la disputa y revisas los cargos si el cliente insiste.</t>
        </is>
      </c>
      <c r="H165" s="6" t="inlineStr">
        <is>
          <t>Incentivos ↑</t>
        </is>
      </c>
      <c r="I165" s="6" t="inlineStr">
        <is>
          <t>Incentivos</t>
        </is>
      </c>
      <c r="J165" s="6" t="inlineStr">
        <is>
          <t>Pasiva</t>
        </is>
      </c>
      <c r="K165" s="6" t="inlineStr">
        <is>
          <t>Pasividad: dejaste la disputa abierta; el cliente retuvo pagos y terminó exigiendo un crédito mayor.</t>
        </is>
      </c>
      <c r="L165" s="4" t="n"/>
      <c r="M165" s="4" t="n"/>
      <c r="N165" s="4" t="n"/>
      <c r="O165" s="6" t="inlineStr">
        <is>
          <t>A client disputes 3% of charges on 4 invoices, but keeps buying.</t>
        </is>
      </c>
      <c r="P165" s="6" t="inlineStr">
        <is>
          <t>Leave it open</t>
        </is>
      </c>
      <c r="Q165" s="6" t="inlineStr">
        <is>
          <t>You keep the dispute open and correct each charge only if the client insists.</t>
        </is>
      </c>
      <c r="R165" s="6" t="inlineStr">
        <is>
          <t>Incentives ↑</t>
        </is>
      </c>
      <c r="S165" s="6" t="inlineStr">
        <is>
          <t>Passivity: you left the dispute open; the client held back payments and ended up demanding a bigger credit.</t>
        </is>
      </c>
      <c r="T165" s="4" t="n"/>
    </row>
    <row r="166" ht="27" customHeight="1">
      <c r="A166" s="6" t="inlineStr">
        <is>
          <t>m11p</t>
        </is>
      </c>
      <c r="B166" s="6" t="inlineStr">
        <is>
          <t>11 a 12</t>
        </is>
      </c>
      <c r="C166" s="6" t="inlineStr">
        <is>
          <t>PLANTA</t>
        </is>
      </c>
      <c r="D166" s="6" t="inlineStr">
        <is>
          <t>HOTELES</t>
        </is>
      </c>
      <c r="E166" s="6" t="inlineStr">
        <is>
          <t>Llega fin de año con 30% más de pedidos y gente que pide vacaciones.</t>
        </is>
      </c>
      <c r="F166" s="6" t="inlineStr">
        <is>
          <t>Turnos rotativos</t>
        </is>
      </c>
      <c r="G166" s="6" t="inlineStr">
        <is>
          <t>Rotas a la gente con permisos justos y un bono de 3% por cumplir.</t>
        </is>
      </c>
      <c r="H166" s="6" t="inlineStr">
        <is>
          <t>Ventas ↑ · Costo ↑</t>
        </is>
      </c>
      <c r="I166" s="6" t="inlineStr">
        <is>
          <t>Ventas</t>
        </is>
      </c>
      <c r="J166" s="6" t="inlineStr">
        <is>
          <t>Equilibrada</t>
        </is>
      </c>
      <c r="K166" s="6" t="inlineStr">
        <is>
          <t>Equilibrada: rotaste turnos con permisos justos y un bono de 3%: se despacha sin quemar al equipo.</t>
        </is>
      </c>
      <c r="L166" s="4" t="n"/>
      <c r="M166" s="4" t="n"/>
      <c r="N166" s="4" t="n"/>
      <c r="O166" s="6" t="inlineStr">
        <is>
          <t>Year-end brings 30% more orders and people asking for vacation.</t>
        </is>
      </c>
      <c r="P166" s="6" t="inlineStr">
        <is>
          <t>Rotating shifts</t>
        </is>
      </c>
      <c r="Q166" s="6" t="inlineStr">
        <is>
          <t>You rotate people with fair leave and a 3% bonus for hitting targets.</t>
        </is>
      </c>
      <c r="R166" s="6" t="inlineStr">
        <is>
          <t>Sales ↑ · Cost ↑</t>
        </is>
      </c>
      <c r="S166" s="6" t="inlineStr">
        <is>
          <t>Balanced: you rotated shifts with fair leave and a 3% bonus: it ships without burning out the team.</t>
        </is>
      </c>
      <c r="T166" s="4" t="n"/>
    </row>
    <row r="167" ht="27" customHeight="1">
      <c r="A167" s="6" t="inlineStr">
        <is>
          <t>m11p</t>
        </is>
      </c>
      <c r="B167" s="6" t="inlineStr">
        <is>
          <t>11 a 12</t>
        </is>
      </c>
      <c r="C167" s="6" t="inlineStr">
        <is>
          <t>PLANTA</t>
        </is>
      </c>
      <c r="D167" s="6" t="inlineStr">
        <is>
          <t>HOTELES</t>
        </is>
      </c>
      <c r="E167" s="6" t="inlineStr">
        <is>
          <t>Llega fin de año con 30% más de pedidos y gente que pide vacaciones.</t>
        </is>
      </c>
      <c r="F167" s="6" t="inlineStr">
        <is>
          <t>Congelar permisos</t>
        </is>
      </c>
      <c r="G167" s="6" t="inlineStr">
        <is>
          <t>Congelas los permisos de diciembre y mantienes los 3 turnos al máximo.</t>
        </is>
      </c>
      <c r="H167" s="6" t="inlineStr">
        <is>
          <t>Ventas ↑ · Costo ↑</t>
        </is>
      </c>
      <c r="I167" s="6" t="inlineStr">
        <is>
          <t>Ventas</t>
        </is>
      </c>
      <c r="J167" s="6" t="inlineStr">
        <is>
          <t>Atajo</t>
        </is>
      </c>
      <c r="K167" s="6" t="inlineStr">
        <is>
          <t>Atajo: congelaste los permisos de diciembre y mantuviste 3 turnos al máximo: el equipo se agota.</t>
        </is>
      </c>
      <c r="L167" s="4" t="n"/>
      <c r="M167" s="4" t="n"/>
      <c r="N167" s="4" t="n"/>
      <c r="O167" s="6" t="inlineStr">
        <is>
          <t>Year-end brings 30% more orders and people asking for vacation.</t>
        </is>
      </c>
      <c r="P167" s="6" t="inlineStr">
        <is>
          <t>Freeze leave</t>
        </is>
      </c>
      <c r="Q167" s="6" t="inlineStr">
        <is>
          <t>You freeze December leave and keep the 3 shifts at maximum.</t>
        </is>
      </c>
      <c r="R167" s="6" t="inlineStr">
        <is>
          <t>Sales ↑ · Cost ↑</t>
        </is>
      </c>
      <c r="S167" s="6" t="inlineStr">
        <is>
          <t>Shortcut: you froze December leave and ran 3 shifts at full tilt: the team runs out of steam.</t>
        </is>
      </c>
      <c r="T167" s="4" t="n"/>
    </row>
    <row r="168" ht="27" customHeight="1">
      <c r="A168" s="6" t="inlineStr">
        <is>
          <t>m11p</t>
        </is>
      </c>
      <c r="B168" s="6" t="inlineStr">
        <is>
          <t>11 a 12</t>
        </is>
      </c>
      <c r="C168" s="6" t="inlineStr">
        <is>
          <t>PLANTA</t>
        </is>
      </c>
      <c r="D168" s="6" t="inlineStr">
        <is>
          <t>HOTELES</t>
        </is>
      </c>
      <c r="E168" s="6" t="inlineStr">
        <is>
          <t>Llega fin de año con 30% más de pedidos y gente que pide vacaciones.</t>
        </is>
      </c>
      <c r="F168" s="6" t="inlineStr">
        <is>
          <t>Dar los permisos</t>
        </is>
      </c>
      <c r="G168" s="6" t="inlineStr">
        <is>
          <t>Das los permisos pedidos y toleras 2 semanas de atraso, aunque reclamen.</t>
        </is>
      </c>
      <c r="H168" s="6" t="inlineStr">
        <is>
          <t>Ventas ↓</t>
        </is>
      </c>
      <c r="I168" s="6" t="inlineStr">
        <is>
          <t>Ventas</t>
        </is>
      </c>
      <c r="J168" s="6" t="inlineStr">
        <is>
          <t>Ceder</t>
        </is>
      </c>
      <c r="K168" s="6" t="inlineStr">
        <is>
          <t>Cesión: diste todos los permisos y toleraste 2 semanas de atraso: algunos hoteles no esperaron.</t>
        </is>
      </c>
      <c r="L168" s="4" t="n"/>
      <c r="M168" s="4" t="n"/>
      <c r="N168" s="4" t="n"/>
      <c r="O168" s="6" t="inlineStr">
        <is>
          <t>Year-end brings 30% more orders and people asking for vacation.</t>
        </is>
      </c>
      <c r="P168" s="6" t="inlineStr">
        <is>
          <t>Grant the leave</t>
        </is>
      </c>
      <c r="Q168" s="6" t="inlineStr">
        <is>
          <t>You grant the leave asked and tolerate 2 weeks of delays, despite complaints.</t>
        </is>
      </c>
      <c r="R168" s="6" t="inlineStr">
        <is>
          <t>Sales ↓</t>
        </is>
      </c>
      <c r="S168" s="6" t="inlineStr">
        <is>
          <t>Concession: you gave all the leave and tolerated 2 weeks of delay: some hotels did not wait.</t>
        </is>
      </c>
      <c r="T168" s="4" t="n"/>
    </row>
    <row r="169" ht="27" customHeight="1">
      <c r="A169" s="6" t="inlineStr">
        <is>
          <t>m11p</t>
        </is>
      </c>
      <c r="B169" s="6" t="inlineStr">
        <is>
          <t>11 a 12</t>
        </is>
      </c>
      <c r="C169" s="6" t="inlineStr">
        <is>
          <t>PLANTA</t>
        </is>
      </c>
      <c r="D169" s="6" t="inlineStr">
        <is>
          <t>HOTELES</t>
        </is>
      </c>
      <c r="E169" s="6" t="inlineStr">
        <is>
          <t>Llega fin de año con 30% más de pedidos y gente que pide vacaciones.</t>
        </is>
      </c>
      <c r="F169" s="6" t="inlineStr">
        <is>
          <t>Turnos al paso</t>
        </is>
      </c>
      <c r="G169" s="6" t="inlineStr">
        <is>
          <t>Armas los turnos día a día y ves cómo evoluciona la demanda semanal.</t>
        </is>
      </c>
      <c r="H169" s="6" t="inlineStr">
        <is>
          <t>Costo ↑</t>
        </is>
      </c>
      <c r="I169" s="6" t="inlineStr">
        <is>
          <t>Costo</t>
        </is>
      </c>
      <c r="J169" s="6" t="inlineStr">
        <is>
          <t>Pasiva</t>
        </is>
      </c>
      <c r="K169" s="6" t="inlineStr">
        <is>
          <t>Pasividad: armaste turnos día a día y los picos de demanda te encontraron sin gente.</t>
        </is>
      </c>
      <c r="L169" s="4" t="n"/>
      <c r="M169" s="4" t="n"/>
      <c r="N169" s="4" t="n"/>
      <c r="O169" s="6" t="inlineStr">
        <is>
          <t>Year-end brings 30% more orders and people asking for vacation.</t>
        </is>
      </c>
      <c r="P169" s="6" t="inlineStr">
        <is>
          <t>Shifts day by day</t>
        </is>
      </c>
      <c r="Q169" s="6" t="inlineStr">
        <is>
          <t>You set shifts day by day and watch how weekly demand evolves.</t>
        </is>
      </c>
      <c r="R169" s="6" t="inlineStr">
        <is>
          <t>Cost ↑</t>
        </is>
      </c>
      <c r="S169" s="6" t="inlineStr">
        <is>
          <t>Passivity: you set shifts day by day and demand peaks caught you without people.</t>
        </is>
      </c>
      <c r="T169" s="4" t="n"/>
    </row>
    <row r="170" ht="27" customHeight="1">
      <c r="A170" s="6" t="inlineStr">
        <is>
          <t>m11e</t>
        </is>
      </c>
      <c r="B170" s="6" t="inlineStr">
        <is>
          <t>Cualquiera</t>
        </is>
      </c>
      <c r="C170" s="6" t="inlineStr">
        <is>
          <t>ENTORNO</t>
        </is>
      </c>
      <c r="D170" s="6" t="inlineStr">
        <is>
          <t>INDUSTRIA</t>
        </is>
      </c>
      <c r="E170" s="6" t="inlineStr">
        <is>
          <t>Un bloqueo en la ruta principal detiene tus despachos por 3 semanas.</t>
        </is>
      </c>
      <c r="F170" s="6" t="inlineStr">
        <is>
          <t>Desvío</t>
        </is>
      </c>
      <c r="G170" s="6" t="inlineStr">
        <is>
          <t>Coordinas un desvío con el cliente y hablas con los vecinos.</t>
        </is>
      </c>
      <c r="H170" s="6" t="inlineStr">
        <is>
          <t>Ventas ↑ · Flete ↑</t>
        </is>
      </c>
      <c r="I170" s="6" t="inlineStr">
        <is>
          <t>Ventas</t>
        </is>
      </c>
      <c r="J170" s="6" t="inlineStr">
        <is>
          <t>Equilibrada</t>
        </is>
      </c>
      <c r="K170" s="6" t="inlineStr">
        <is>
          <t>Equilibrada: coordinaste un desvío con el cliente y conversaste con los vecinos: poco costo extra.</t>
        </is>
      </c>
      <c r="L170" s="4" t="n"/>
      <c r="M170" s="4" t="n"/>
      <c r="N170" s="4" t="n"/>
      <c r="O170" s="6" t="inlineStr">
        <is>
          <t>A blockade of the main road halts your shipments for 3 weeks.</t>
        </is>
      </c>
      <c r="P170" s="6" t="inlineStr">
        <is>
          <t>Detour</t>
        </is>
      </c>
      <c r="Q170" s="6" t="inlineStr">
        <is>
          <t>You arrange a detour with the client and keep talks open with neighbors.</t>
        </is>
      </c>
      <c r="R170" s="6" t="inlineStr">
        <is>
          <t>Sales ↑ · Freight ↑</t>
        </is>
      </c>
      <c r="S170" s="6" t="inlineStr">
        <is>
          <t>Balanced: you coordinated a detour with the client and talked to the neighbors: little extra cost.</t>
        </is>
      </c>
      <c r="T170" s="4" t="n"/>
    </row>
    <row r="171" ht="40.5" customHeight="1">
      <c r="A171" s="6" t="inlineStr">
        <is>
          <t>m11e</t>
        </is>
      </c>
      <c r="B171" s="6" t="inlineStr">
        <is>
          <t>Cualquiera</t>
        </is>
      </c>
      <c r="C171" s="6" t="inlineStr">
        <is>
          <t>ENTORNO</t>
        </is>
      </c>
      <c r="D171" s="6" t="inlineStr">
        <is>
          <t>INDUSTRIA</t>
        </is>
      </c>
      <c r="E171" s="6" t="inlineStr">
        <is>
          <t>Un bloqueo en la ruta principal detiene tus despachos por 3 semanas.</t>
        </is>
      </c>
      <c r="F171" s="6" t="inlineStr">
        <is>
          <t>Cobrar el atraso</t>
        </is>
      </c>
      <c r="G171" s="6" t="inlineStr">
        <is>
          <t>Cargas al cliente el costo del bloqueo y se lo explicas con una carta formal.</t>
        </is>
      </c>
      <c r="H171" s="6" t="inlineStr">
        <is>
          <t>Ventas ↑</t>
        </is>
      </c>
      <c r="I171" s="6" t="inlineStr">
        <is>
          <t>Ventas</t>
        </is>
      </c>
      <c r="J171" s="6" t="inlineStr">
        <is>
          <t>Atajo</t>
        </is>
      </c>
      <c r="K171" s="6" t="inlineStr">
        <is>
          <t>Atajo: cobraste al cliente el costo del bloqueo con una carta formal: hoy sube el ingreso, mañana lo recuerda.</t>
        </is>
      </c>
      <c r="L171" s="4" t="n"/>
      <c r="M171" s="4" t="n"/>
      <c r="N171" s="4" t="n"/>
      <c r="O171" s="6" t="inlineStr">
        <is>
          <t>A blockade of the main road halts your shipments for 3 weeks.</t>
        </is>
      </c>
      <c r="P171" s="6" t="inlineStr">
        <is>
          <t>Bill the delay</t>
        </is>
      </c>
      <c r="Q171" s="6" t="inlineStr">
        <is>
          <t>You bill the client for the blockade cost and explain it if they complain.</t>
        </is>
      </c>
      <c r="R171" s="6" t="inlineStr">
        <is>
          <t>Sales ↑</t>
        </is>
      </c>
      <c r="S171" s="6" t="inlineStr">
        <is>
          <t>Shortcut: you billed the client for the blockade with a formal letter: income today, remembered tomorrow.</t>
        </is>
      </c>
      <c r="T171" s="4" t="n"/>
    </row>
    <row r="172" ht="40.5" customHeight="1">
      <c r="A172" s="6" t="inlineStr">
        <is>
          <t>m11e</t>
        </is>
      </c>
      <c r="B172" s="6" t="inlineStr">
        <is>
          <t>Cualquiera</t>
        </is>
      </c>
      <c r="C172" s="6" t="inlineStr">
        <is>
          <t>ENTORNO</t>
        </is>
      </c>
      <c r="D172" s="6" t="inlineStr">
        <is>
          <t>INDUSTRIA</t>
        </is>
      </c>
      <c r="E172" s="6" t="inlineStr">
        <is>
          <t>Un bloqueo en la ruta principal detiene tus despachos por 3 semanas.</t>
        </is>
      </c>
      <c r="F172" s="6" t="inlineStr">
        <is>
          <t>Pagar el paso</t>
        </is>
      </c>
      <c r="G172" s="6" t="inlineStr">
        <is>
          <t>Pagas peaje y escolta para despachar los 20 pedidos pendientes.</t>
        </is>
      </c>
      <c r="H172" s="6" t="inlineStr">
        <is>
          <t>Flete ↑</t>
        </is>
      </c>
      <c r="I172" s="6" t="inlineStr">
        <is>
          <t>Flete</t>
        </is>
      </c>
      <c r="J172" s="6" t="inlineStr">
        <is>
          <t>Ceder</t>
        </is>
      </c>
      <c r="K172" s="6" t="inlineStr">
        <is>
          <t>Cesión: pagaste peaje y escolta para despachar los 20 pedidos: cumples, pero el flete se come el margen.</t>
        </is>
      </c>
      <c r="L172" s="4" t="n"/>
      <c r="M172" s="4" t="n"/>
      <c r="N172" s="4" t="n"/>
      <c r="O172" s="6" t="inlineStr">
        <is>
          <t>A blockade of the main road halts your shipments for 3 weeks.</t>
        </is>
      </c>
      <c r="P172" s="6" t="inlineStr">
        <is>
          <t>Escort and toll</t>
        </is>
      </c>
      <c r="Q172" s="6" t="inlineStr">
        <is>
          <t>You buy tolls and escorts to ship the 20 pending orders.</t>
        </is>
      </c>
      <c r="R172" s="6" t="inlineStr">
        <is>
          <t>Freight ↑</t>
        </is>
      </c>
      <c r="S172" s="6" t="inlineStr">
        <is>
          <t>Concession: you paid toll and escort to ship the 20 orders: you deliver, but freight eats the margin.</t>
        </is>
      </c>
      <c r="T172" s="4" t="n"/>
    </row>
    <row r="173" ht="40.5" customHeight="1">
      <c r="A173" s="6" t="inlineStr">
        <is>
          <t>m11e</t>
        </is>
      </c>
      <c r="B173" s="6" t="inlineStr">
        <is>
          <t>Cualquiera</t>
        </is>
      </c>
      <c r="C173" s="6" t="inlineStr">
        <is>
          <t>ENTORNO</t>
        </is>
      </c>
      <c r="D173" s="6" t="inlineStr">
        <is>
          <t>INDUSTRIA</t>
        </is>
      </c>
      <c r="E173" s="6" t="inlineStr">
        <is>
          <t>Un bloqueo en la ruta principal detiene tus despachos por 3 semanas.</t>
        </is>
      </c>
      <c r="F173" s="6" t="inlineStr">
        <is>
          <t>Pausar despachos</t>
        </is>
      </c>
      <c r="G173" s="6" t="inlineStr">
        <is>
          <t>Detienes los despachos y otros resuelven el bloqueo con los vecinos.</t>
        </is>
      </c>
      <c r="H173" s="6" t="inlineStr">
        <is>
          <t>Ventas ↓</t>
        </is>
      </c>
      <c r="I173" s="6" t="inlineStr">
        <is>
          <t>Ventas</t>
        </is>
      </c>
      <c r="J173" s="6" t="inlineStr">
        <is>
          <t>Pasiva</t>
        </is>
      </c>
      <c r="K173" s="6" t="inlineStr">
        <is>
          <t>Pasividad: pausaste los despachos y esperaste a que otros resolvieran el bloqueo: 3 semanas sin ventas.</t>
        </is>
      </c>
      <c r="L173" s="4" t="n"/>
      <c r="M173" s="4" t="n"/>
      <c r="N173" s="4" t="n"/>
      <c r="O173" s="6" t="inlineStr">
        <is>
          <t>A blockade of the main road halts your shipments for 3 weeks.</t>
        </is>
      </c>
      <c r="P173" s="6" t="inlineStr">
        <is>
          <t>Pause shipments</t>
        </is>
      </c>
      <c r="Q173" s="6" t="inlineStr">
        <is>
          <t>You hold the trucks and the client opens talks with the neighbors.</t>
        </is>
      </c>
      <c r="R173" s="6" t="inlineStr">
        <is>
          <t>Sales ↓</t>
        </is>
      </c>
      <c r="S173" s="6" t="inlineStr">
        <is>
          <t>Passivity: you paused shipments and waited for others to settle the blockade: 3 weeks without sales.</t>
        </is>
      </c>
      <c r="T173" s="4" t="n"/>
    </row>
    <row r="174" ht="27" customHeight="1">
      <c r="A174" s="6" t="inlineStr">
        <is>
          <t>m11s</t>
        </is>
      </c>
      <c r="B174" s="6" t="inlineStr">
        <is>
          <t>Cualquiera</t>
        </is>
      </c>
      <c r="C174" s="6" t="inlineStr">
        <is>
          <t>ESTRATEGIA</t>
        </is>
      </c>
      <c r="D174" s="6" t="inlineStr">
        <is>
          <t>HOTELES</t>
        </is>
      </c>
      <c r="E174" s="6" t="inlineStr">
        <is>
          <t>Tus vendedores cobran 3% sobre la venta, aunque el margen sea bajo.</t>
        </is>
      </c>
      <c r="F174" s="6" t="inlineStr">
        <is>
          <t>Comisión por margen</t>
        </is>
      </c>
      <c r="G174" s="6" t="inlineStr">
        <is>
          <t>Cambias la base de comisión a margen y fijas un piso de 1% por 6 meses.</t>
        </is>
      </c>
      <c r="H174" s="6" t="inlineStr">
        <is>
          <t>SG&amp;A ↓</t>
        </is>
      </c>
      <c r="I174" s="6" t="inlineStr">
        <is>
          <t>SG&amp;A</t>
        </is>
      </c>
      <c r="J174" s="6" t="inlineStr">
        <is>
          <t>Equilibrada</t>
        </is>
      </c>
      <c r="K174" s="6" t="inlineStr">
        <is>
          <t>Equilibrada: pasaste la comisión a margen con piso de 1% por 6 meses: el margen sube.</t>
        </is>
      </c>
      <c r="L174" s="4" t="n"/>
      <c r="M174" s="4" t="n"/>
      <c r="N174" s="4" t="n"/>
      <c r="O174" s="6" t="inlineStr">
        <is>
          <t>Your salespeople earn 3% on sales, even when the margin is low.</t>
        </is>
      </c>
      <c r="P174" s="6" t="inlineStr">
        <is>
          <t>Pay on margin</t>
        </is>
      </c>
      <c r="Q174" s="6" t="inlineStr">
        <is>
          <t>You switch the commission base to margin and set a 1% floor for 6 months.</t>
        </is>
      </c>
      <c r="R174" s="6" t="inlineStr">
        <is>
          <t>SG&amp;A ↓</t>
        </is>
      </c>
      <c r="S174" s="6" t="inlineStr">
        <is>
          <t>Balanced: you moved commission to margin with a 1% floor for 6 months: the margin rises.</t>
        </is>
      </c>
      <c r="T174" s="4" t="n"/>
    </row>
    <row r="175" ht="40.5" customHeight="1">
      <c r="A175" s="6" t="inlineStr">
        <is>
          <t>m11s</t>
        </is>
      </c>
      <c r="B175" s="6" t="inlineStr">
        <is>
          <t>Cualquiera</t>
        </is>
      </c>
      <c r="C175" s="6" t="inlineStr">
        <is>
          <t>ESTRATEGIA</t>
        </is>
      </c>
      <c r="D175" s="6" t="inlineStr">
        <is>
          <t>HOTELES</t>
        </is>
      </c>
      <c r="E175" s="6" t="inlineStr">
        <is>
          <t>Tus vendedores cobran 3% sobre la venta, aunque el margen sea bajo.</t>
        </is>
      </c>
      <c r="F175" s="6" t="inlineStr">
        <is>
          <t>Metas más altas</t>
        </is>
      </c>
      <c r="G175" s="6" t="inlineStr">
        <is>
          <t>Subes 15% la meta de ventas de todos y esperas más volumen de inmediato.</t>
        </is>
      </c>
      <c r="H175" s="6" t="inlineStr">
        <is>
          <t>Ventas ↑</t>
        </is>
      </c>
      <c r="I175" s="6" t="inlineStr">
        <is>
          <t>Ventas</t>
        </is>
      </c>
      <c r="J175" s="6" t="inlineStr">
        <is>
          <t>Atajo</t>
        </is>
      </c>
      <c r="K175" s="6" t="inlineStr">
        <is>
          <t>Atajo: subiste 15% la meta de ventas de todos: el volumen se mueve hoy, pero presionas a vender sin margen.</t>
        </is>
      </c>
      <c r="L175" s="4" t="n"/>
      <c r="M175" s="4" t="n"/>
      <c r="N175" s="4" t="n"/>
      <c r="O175" s="6" t="inlineStr">
        <is>
          <t>Your salespeople earn 3% on sales, even when the margin is low.</t>
        </is>
      </c>
      <c r="P175" s="6" t="inlineStr">
        <is>
          <t>Higher targets</t>
        </is>
      </c>
      <c r="Q175" s="6" t="inlineStr">
        <is>
          <t>You raise everyone's sales target 15% and expect more volume right away.</t>
        </is>
      </c>
      <c r="R175" s="6" t="inlineStr">
        <is>
          <t>Sales ↑</t>
        </is>
      </c>
      <c r="S175" s="6" t="inlineStr">
        <is>
          <t>Shortcut: you raised everyone sales target 15%: volume moves today, but you push selling with no margin.</t>
        </is>
      </c>
      <c r="T175" s="4" t="n"/>
    </row>
    <row r="176" ht="27" customHeight="1">
      <c r="A176" s="6" t="inlineStr">
        <is>
          <t>m11s</t>
        </is>
      </c>
      <c r="B176" s="6" t="inlineStr">
        <is>
          <t>Cualquiera</t>
        </is>
      </c>
      <c r="C176" s="6" t="inlineStr">
        <is>
          <t>ESTRATEGIA</t>
        </is>
      </c>
      <c r="D176" s="6" t="inlineStr">
        <is>
          <t>HOTELES</t>
        </is>
      </c>
      <c r="E176" s="6" t="inlineStr">
        <is>
          <t>Tus vendedores cobran 3% sobre la venta, aunque el margen sea bajo.</t>
        </is>
      </c>
      <c r="F176" s="6" t="inlineStr">
        <is>
          <t>Comisión de 4%</t>
        </is>
      </c>
      <c r="G176" s="6" t="inlineStr">
        <is>
          <t>Subes la comisión a 4% para que no se vayan los vendedores más fuertes.</t>
        </is>
      </c>
      <c r="H176" s="6" t="inlineStr">
        <is>
          <t>SG&amp;A ↑</t>
        </is>
      </c>
      <c r="I176" s="6" t="inlineStr">
        <is>
          <t>SG&amp;A</t>
        </is>
      </c>
      <c r="J176" s="6" t="inlineStr">
        <is>
          <t>Ceder</t>
        </is>
      </c>
      <c r="K176" s="6" t="inlineStr">
        <is>
          <t>Cesión: subiste la comisión a 4% para no perder a los mejores: el SG&amp;A sube sin más margen.</t>
        </is>
      </c>
      <c r="L176" s="4" t="n"/>
      <c r="M176" s="4" t="n"/>
      <c r="N176" s="4" t="n"/>
      <c r="O176" s="6" t="inlineStr">
        <is>
          <t>Your salespeople earn 3% on sales, even when the margin is low.</t>
        </is>
      </c>
      <c r="P176" s="6" t="inlineStr">
        <is>
          <t>4% commission</t>
        </is>
      </c>
      <c r="Q176" s="6" t="inlineStr">
        <is>
          <t>You lift the commission to 4% so your strongest sellers do not leave.</t>
        </is>
      </c>
      <c r="R176" s="6" t="inlineStr">
        <is>
          <t>SG&amp;A ↑</t>
        </is>
      </c>
      <c r="S176" s="6" t="inlineStr">
        <is>
          <t>Concession: you raised the commission to 4% to keep the best: the SG&amp;A rises with no more margin.</t>
        </is>
      </c>
      <c r="T176" s="4" t="n"/>
    </row>
    <row r="177" ht="40.5" customHeight="1">
      <c r="A177" s="6" t="inlineStr">
        <is>
          <t>m11s</t>
        </is>
      </c>
      <c r="B177" s="6" t="inlineStr">
        <is>
          <t>Cualquiera</t>
        </is>
      </c>
      <c r="C177" s="6" t="inlineStr">
        <is>
          <t>ESTRATEGIA</t>
        </is>
      </c>
      <c r="D177" s="6" t="inlineStr">
        <is>
          <t>HOTELES</t>
        </is>
      </c>
      <c r="E177" s="6" t="inlineStr">
        <is>
          <t>Tus vendedores cobran 3% sobre la venta, aunque el margen sea bajo.</t>
        </is>
      </c>
      <c r="F177" s="6" t="inlineStr">
        <is>
          <t>Esquema actual</t>
        </is>
      </c>
      <c r="G177" s="6" t="inlineStr">
        <is>
          <t>Dejas el esquema actual y lo revisas en la negociación anual de metas.</t>
        </is>
      </c>
      <c r="H177" s="6" t="inlineStr">
        <is>
          <t>Incentivos ↑</t>
        </is>
      </c>
      <c r="I177" s="6" t="inlineStr">
        <is>
          <t>Incentivos</t>
        </is>
      </c>
      <c r="J177" s="6" t="inlineStr">
        <is>
          <t>Pasiva</t>
        </is>
      </c>
      <c r="K177" s="6" t="inlineStr">
        <is>
          <t>Pasividad: dejaste el esquema actual hasta la negociación anual: siguen premiando volumen sin margen.</t>
        </is>
      </c>
      <c r="L177" s="4" t="n"/>
      <c r="M177" s="4" t="n"/>
      <c r="N177" s="4" t="n"/>
      <c r="O177" s="6" t="inlineStr">
        <is>
          <t>Your salespeople earn 3% on sales, even when the margin is low.</t>
        </is>
      </c>
      <c r="P177" s="6" t="inlineStr">
        <is>
          <t>Current scheme</t>
        </is>
      </c>
      <c r="Q177" s="6" t="inlineStr">
        <is>
          <t>You keep the current scheme and review it in the annual targets round.</t>
        </is>
      </c>
      <c r="R177" s="6" t="inlineStr">
        <is>
          <t>Incentives ↑</t>
        </is>
      </c>
      <c r="S177" s="6" t="inlineStr">
        <is>
          <t>Passivity: you left the current scheme until the annual talks: they keep rewarding volume without margin.</t>
        </is>
      </c>
      <c r="T177" s="4" t="n"/>
    </row>
    <row r="178" ht="40.5" customHeight="1">
      <c r="A178" s="6" t="inlineStr">
        <is>
          <t>m12c</t>
        </is>
      </c>
      <c r="B178" s="6" t="inlineStr">
        <is>
          <t>Cualquiera</t>
        </is>
      </c>
      <c r="C178" s="6" t="inlineStr">
        <is>
          <t>CLIENTE</t>
        </is>
      </c>
      <c r="D178" s="6" t="inlineStr">
        <is>
          <t>ALIMENTOS</t>
        </is>
      </c>
      <c r="E178" s="6" t="inlineStr">
        <is>
          <t>Un cliente ofrece renovar 3 años a precio fijo, sin reajuste por inflación.</t>
        </is>
      </c>
      <c r="F178" s="6" t="inlineStr">
        <is>
          <t>Fijo con tope</t>
        </is>
      </c>
      <c r="G178" s="6" t="inlineStr">
        <is>
          <t>Aceptas 36 meses y pides un tope de variación atado al costo de insumos.</t>
        </is>
      </c>
      <c r="H178" s="6" t="inlineStr">
        <is>
          <t>volumen +0,5%, precio +0,1%</t>
        </is>
      </c>
      <c r="I178" s="6" t="inlineStr">
        <is>
          <t>Ventas</t>
        </is>
      </c>
      <c r="J178" s="6" t="inlineStr">
        <is>
          <t>Equilibrada</t>
        </is>
      </c>
      <c r="K178" s="6" t="inlineStr">
        <is>
          <t>Equilibrada: aceptaste 36 meses con un tope atado al costo de insumos: ventas y margen cuidados.</t>
        </is>
      </c>
      <c r="L178" s="4" t="n"/>
      <c r="M178" s="4" t="n"/>
      <c r="N178" s="4" t="n"/>
      <c r="O178" s="6" t="inlineStr">
        <is>
          <t>A client offers to renew 3 years at a fixed price, no inflation clause.</t>
        </is>
      </c>
      <c r="P178" s="6" t="inlineStr">
        <is>
          <t>Fixed with a limit</t>
        </is>
      </c>
      <c r="Q178" s="6" t="inlineStr">
        <is>
          <t>You accept 36 months and ask for a limit that follows input cost.</t>
        </is>
      </c>
      <c r="R178" s="6" t="inlineStr">
        <is>
          <t>volume +0.5%, price +0.1%</t>
        </is>
      </c>
      <c r="S178" s="6" t="inlineStr">
        <is>
          <t>Balanced: you accepted 36 months with a cap tied to input costs: sales and margin looked after.</t>
        </is>
      </c>
      <c r="T178" s="4" t="n"/>
    </row>
    <row r="179" ht="40.5" customHeight="1">
      <c r="A179" s="6" t="inlineStr">
        <is>
          <t>m12c</t>
        </is>
      </c>
      <c r="B179" s="6" t="inlineStr">
        <is>
          <t>Cualquiera</t>
        </is>
      </c>
      <c r="C179" s="6" t="inlineStr">
        <is>
          <t>CLIENTE</t>
        </is>
      </c>
      <c r="D179" s="6" t="inlineStr">
        <is>
          <t>ALIMENTOS</t>
        </is>
      </c>
      <c r="E179" s="6" t="inlineStr">
        <is>
          <t>Un cliente ofrece renovar 3 años a precio fijo, sin reajuste por inflación.</t>
        </is>
      </c>
      <c r="F179" s="6" t="inlineStr">
        <is>
          <t>Alza y firma</t>
        </is>
      </c>
      <c r="G179" s="6" t="inlineStr">
        <is>
          <t>Firmas con un precio inicial 3% más alto, aunque quede sobre el mercado.</t>
        </is>
      </c>
      <c r="H179" s="6" t="inlineStr">
        <is>
          <t>precio +0,5%</t>
        </is>
      </c>
      <c r="I179" s="6" t="inlineStr">
        <is>
          <t>Ventas</t>
        </is>
      </c>
      <c r="J179" s="6" t="inlineStr">
        <is>
          <t>Atajo</t>
        </is>
      </c>
      <c r="K179" s="6" t="inlineStr">
        <is>
          <t>Atajo: firmaste con un precio inicial 3% más alto que el mercado; el cliente puede irse apenas pueda.</t>
        </is>
      </c>
      <c r="L179" s="4" t="n"/>
      <c r="M179" s="4" t="n"/>
      <c r="N179" s="4" t="n"/>
      <c r="O179" s="6" t="inlineStr">
        <is>
          <t>A client offers to renew 3 years at a fixed price, no inflation clause.</t>
        </is>
      </c>
      <c r="P179" s="6" t="inlineStr">
        <is>
          <t>Hike and sign</t>
        </is>
      </c>
      <c r="Q179" s="6" t="inlineStr">
        <is>
          <t>You sign at an opening price 3% higher, even if it sits above the market.</t>
        </is>
      </c>
      <c r="R179" s="6" t="inlineStr">
        <is>
          <t>price +0.5%</t>
        </is>
      </c>
      <c r="S179" s="6" t="inlineStr">
        <is>
          <t>Shortcut: you signed at an initial price 3% above the market; the client can leave as soon as it can.</t>
        </is>
      </c>
      <c r="T179" s="4" t="n"/>
    </row>
    <row r="180" ht="40.5" customHeight="1">
      <c r="A180" s="6" t="inlineStr">
        <is>
          <t>m12c</t>
        </is>
      </c>
      <c r="B180" s="6" t="inlineStr">
        <is>
          <t>Cualquiera</t>
        </is>
      </c>
      <c r="C180" s="6" t="inlineStr">
        <is>
          <t>CLIENTE</t>
        </is>
      </c>
      <c r="D180" s="6" t="inlineStr">
        <is>
          <t>ALIMENTOS</t>
        </is>
      </c>
      <c r="E180" s="6" t="inlineStr">
        <is>
          <t>Un cliente ofrece renovar 3 años a precio fijo, sin reajuste por inflación.</t>
        </is>
      </c>
      <c r="F180" s="6" t="inlineStr">
        <is>
          <t>Firmar como piden</t>
        </is>
      </c>
      <c r="G180" s="6" t="inlineStr">
        <is>
          <t>Firmas los 3 años tal como los redactó el cliente, con su propio texto.</t>
        </is>
      </c>
      <c r="H180" s="6" t="inlineStr">
        <is>
          <t>Costo ↑ · volumen +0,3%</t>
        </is>
      </c>
      <c r="I180" s="6" t="inlineStr">
        <is>
          <t>Costo</t>
        </is>
      </c>
      <c r="J180" s="6" t="inlineStr">
        <is>
          <t>Ceder</t>
        </is>
      </c>
      <c r="K180" s="6" t="inlineStr">
        <is>
          <t>Cesión: firmaste los 3 años como los redactó el cliente: ventas aseguradas, costos libres de subir.</t>
        </is>
      </c>
      <c r="L180" s="4" t="n"/>
      <c r="M180" s="4" t="n"/>
      <c r="N180" s="4" t="n"/>
      <c r="O180" s="6" t="inlineStr">
        <is>
          <t>A client offers to renew 3 years at a fixed price, no inflation clause.</t>
        </is>
      </c>
      <c r="P180" s="6" t="inlineStr">
        <is>
          <t>Sign as asked</t>
        </is>
      </c>
      <c r="Q180" s="6" t="inlineStr">
        <is>
          <t>You sign the 3 years exactly as the client drafted, in its wording.</t>
        </is>
      </c>
      <c r="R180" s="6" t="inlineStr">
        <is>
          <t>Cost ↑ · volume +0.3%</t>
        </is>
      </c>
      <c r="S180" s="6" t="inlineStr">
        <is>
          <t>Concession: you signed the 3 years as the client wrote them: sales secured, costs free to rise.</t>
        </is>
      </c>
      <c r="T180" s="4" t="n"/>
    </row>
    <row r="181" ht="40.5" customHeight="1">
      <c r="A181" s="6" t="inlineStr">
        <is>
          <t>m12c</t>
        </is>
      </c>
      <c r="B181" s="6" t="inlineStr">
        <is>
          <t>Cualquiera</t>
        </is>
      </c>
      <c r="C181" s="6" t="inlineStr">
        <is>
          <t>CLIENTE</t>
        </is>
      </c>
      <c r="D181" s="6" t="inlineStr">
        <is>
          <t>ALIMENTOS</t>
        </is>
      </c>
      <c r="E181" s="6" t="inlineStr">
        <is>
          <t>Un cliente ofrece renovar 3 años a precio fijo, sin reajuste por inflación.</t>
        </is>
      </c>
      <c r="F181" s="6" t="inlineStr">
        <is>
          <t>Dejar vencer</t>
        </is>
      </c>
      <c r="G181" s="6" t="inlineStr">
        <is>
          <t>Pides más tiempo al área legal y la oferta caduca en 30 días.</t>
        </is>
      </c>
      <c r="H181" s="6" t="inlineStr">
        <is>
          <t>volumen -3,0%</t>
        </is>
      </c>
      <c r="I181" s="6" t="inlineStr">
        <is>
          <t>Ventas</t>
        </is>
      </c>
      <c r="J181" s="6" t="inlineStr">
        <is>
          <t>Pasiva</t>
        </is>
      </c>
      <c r="K181" s="6" t="inlineStr">
        <is>
          <t>Pasividad: dejaste caducar la oferta mientras legal revisaba; el cliente firmó con otro por 3 años.</t>
        </is>
      </c>
      <c r="L181" s="4" t="n"/>
      <c r="M181" s="4" t="n"/>
      <c r="N181" s="4" t="n"/>
      <c r="O181" s="6" t="inlineStr">
        <is>
          <t>A client offers to renew 3 years at a fixed price, no inflation clause.</t>
        </is>
      </c>
      <c r="P181" s="6" t="inlineStr">
        <is>
          <t>Ask for time</t>
        </is>
      </c>
      <c r="Q181" s="6" t="inlineStr">
        <is>
          <t>You ask legal for more time and the offer expires in 30 days.</t>
        </is>
      </c>
      <c r="R181" s="6" t="inlineStr">
        <is>
          <t>volume -3.0%</t>
        </is>
      </c>
      <c r="S181" s="6" t="inlineStr">
        <is>
          <t>Passivity: you let the offer lapse while legal reviewed; the client signed with another for 3 years.</t>
        </is>
      </c>
      <c r="T181" s="4" t="n"/>
    </row>
    <row r="182" ht="27" customHeight="1">
      <c r="A182" s="6" t="inlineStr">
        <is>
          <t>m12p</t>
        </is>
      </c>
      <c r="B182" s="6" t="inlineStr">
        <is>
          <t>11 a 12</t>
        </is>
      </c>
      <c r="C182" s="6" t="inlineStr">
        <is>
          <t>PLANTA</t>
        </is>
      </c>
      <c r="D182" s="6" t="inlineStr">
        <is>
          <t>ALIMENTOS</t>
        </is>
      </c>
      <c r="E182" s="6" t="inlineStr">
        <is>
          <t>Cierra el año y 5% del inventario parece obsoleto antes de valorarlo.</t>
        </is>
      </c>
      <c r="F182" s="6" t="inlineStr">
        <is>
          <t>Conteo y venta</t>
        </is>
      </c>
      <c r="G182" s="6" t="inlineStr">
        <is>
          <t>Cuentas el stock, vendes lo recuperable y das de baja el resto.</t>
        </is>
      </c>
      <c r="H182" s="6" t="inlineStr">
        <is>
          <t>Ventas ↑ · Costo ↑</t>
        </is>
      </c>
      <c r="I182" s="6" t="inlineStr">
        <is>
          <t>Ventas</t>
        </is>
      </c>
      <c r="J182" s="6" t="inlineStr">
        <is>
          <t>Equilibrada</t>
        </is>
      </c>
      <c r="K182" s="6" t="inlineStr">
        <is>
          <t>Equilibrada: contaste, vendiste lo recuperable y diste de baja el resto: castigo real y a tiempo.</t>
        </is>
      </c>
      <c r="L182" s="4" t="n"/>
      <c r="M182" s="4" t="n"/>
      <c r="N182" s="4" t="n"/>
      <c r="O182" s="6" t="inlineStr">
        <is>
          <t>The year closes and 5% of inventory looks obsolete before valuation.</t>
        </is>
      </c>
      <c r="P182" s="6" t="inlineStr">
        <is>
          <t>Count and sell</t>
        </is>
      </c>
      <c r="Q182" s="6" t="inlineStr">
        <is>
          <t>You count the inventory, sell the recoverable part and write off the rest.</t>
        </is>
      </c>
      <c r="R182" s="6" t="inlineStr">
        <is>
          <t>Sales ↑ · Cost ↑</t>
        </is>
      </c>
      <c r="S182" s="6" t="inlineStr">
        <is>
          <t>Balanced: you counted, sold what is recoverable and wrote off the rest: a real write-off, on time.</t>
        </is>
      </c>
      <c r="T182" s="4" t="n"/>
    </row>
    <row r="183" ht="40.5" customHeight="1">
      <c r="A183" s="6" t="inlineStr">
        <is>
          <t>m12p</t>
        </is>
      </c>
      <c r="B183" s="6" t="inlineStr">
        <is>
          <t>11 a 12</t>
        </is>
      </c>
      <c r="C183" s="6" t="inlineStr">
        <is>
          <t>PLANTA</t>
        </is>
      </c>
      <c r="D183" s="6" t="inlineStr">
        <is>
          <t>ALIMENTOS</t>
        </is>
      </c>
      <c r="E183" s="6" t="inlineStr">
        <is>
          <t>Cierra el año y 5% del inventario parece obsoleto antes de valorarlo.</t>
        </is>
      </c>
      <c r="F183" s="6" t="inlineStr">
        <is>
          <t>Valor de libro</t>
        </is>
      </c>
      <c r="G183" s="6" t="inlineStr">
        <is>
          <t>Mantienes el 5% obsoleto a valor de libro y difieres el castigo.</t>
        </is>
      </c>
      <c r="H183" s="6" t="inlineStr">
        <is>
          <t>Costo ↓ · SG&amp;A ↑ · LÍNEA ROJA</t>
        </is>
      </c>
      <c r="I183" s="6" t="inlineStr">
        <is>
          <t>Costo</t>
        </is>
      </c>
      <c r="J183" s="6" t="inlineStr">
        <is>
          <t>Atajo</t>
        </is>
      </c>
      <c r="K183" s="6" t="inlineStr">
        <is>
          <t>Línea roja: dejaste lo obsoleto a valor de libro. Es información engañosa: ajuste, multa y auditoría.</t>
        </is>
      </c>
      <c r="L183" s="4" t="n"/>
      <c r="M183" s="4" t="n"/>
      <c r="N183" s="4" t="n"/>
      <c r="O183" s="6" t="inlineStr">
        <is>
          <t>The year closes and 5% of inventory looks obsolete before valuation.</t>
        </is>
      </c>
      <c r="P183" s="6" t="inlineStr">
        <is>
          <t>Book value</t>
        </is>
      </c>
      <c r="Q183" s="6" t="inlineStr">
        <is>
          <t>You keep the 5% obsolete at book value and defer the write-off.</t>
        </is>
      </c>
      <c r="R183" s="6" t="inlineStr">
        <is>
          <t>Cost ↓ · SG&amp;A ↑ · RED LINE</t>
        </is>
      </c>
      <c r="S183" s="6" t="inlineStr">
        <is>
          <t>Red line: you left the obsolete stock at book value. It is misleading reporting: adjustment, fine and audit.</t>
        </is>
      </c>
      <c r="T183" s="4" t="n"/>
    </row>
    <row r="184" ht="27" customHeight="1">
      <c r="A184" s="6" t="inlineStr">
        <is>
          <t>m12p</t>
        </is>
      </c>
      <c r="B184" s="6" t="inlineStr">
        <is>
          <t>11 a 12</t>
        </is>
      </c>
      <c r="C184" s="6" t="inlineStr">
        <is>
          <t>PLANTA</t>
        </is>
      </c>
      <c r="D184" s="6" t="inlineStr">
        <is>
          <t>ALIMENTOS</t>
        </is>
      </c>
      <c r="E184" s="6" t="inlineStr">
        <is>
          <t>Cierra el año y 5% del inventario parece obsoleto antes de valorarlo.</t>
        </is>
      </c>
      <c r="F184" s="6" t="inlineStr">
        <is>
          <t>Castigar de más</t>
        </is>
      </c>
      <c r="G184" s="6" t="inlineStr">
        <is>
          <t>Das de baja el 12% de una vez, como pide Auditoría, y absorbes el golpe.</t>
        </is>
      </c>
      <c r="H184" s="6" t="inlineStr">
        <is>
          <t>Costo ↑</t>
        </is>
      </c>
      <c r="I184" s="6" t="inlineStr">
        <is>
          <t>Costo</t>
        </is>
      </c>
      <c r="J184" s="6" t="inlineStr">
        <is>
          <t>Ceder</t>
        </is>
      </c>
      <c r="K184" s="6" t="inlineStr">
        <is>
          <t>Cesión: castigaste el 12% de una vez, como pedía Auditoría: el golpe es mayor que lo necesario.</t>
        </is>
      </c>
      <c r="L184" s="4" t="n"/>
      <c r="M184" s="4" t="n"/>
      <c r="N184" s="4" t="n"/>
      <c r="O184" s="6" t="inlineStr">
        <is>
          <t>The year closes and 5% of inventory looks obsolete before valuation.</t>
        </is>
      </c>
      <c r="P184" s="6" t="inlineStr">
        <is>
          <t>Write off extra</t>
        </is>
      </c>
      <c r="Q184" s="6" t="inlineStr">
        <is>
          <t>You write off 12% at once, as Audit insists, and carry the hit.</t>
        </is>
      </c>
      <c r="R184" s="6" t="inlineStr">
        <is>
          <t>Cost ↑</t>
        </is>
      </c>
      <c r="S184" s="6" t="inlineStr">
        <is>
          <t>Concession: you wrote off 12% at once, as Audit asked: the blow is bigger than needed.</t>
        </is>
      </c>
      <c r="T184" s="4" t="n"/>
    </row>
    <row r="185" ht="40.5" customHeight="1">
      <c r="A185" s="6" t="inlineStr">
        <is>
          <t>m12p</t>
        </is>
      </c>
      <c r="B185" s="6" t="inlineStr">
        <is>
          <t>11 a 12</t>
        </is>
      </c>
      <c r="C185" s="6" t="inlineStr">
        <is>
          <t>PLANTA</t>
        </is>
      </c>
      <c r="D185" s="6" t="inlineStr">
        <is>
          <t>ALIMENTOS</t>
        </is>
      </c>
      <c r="E185" s="6" t="inlineStr">
        <is>
          <t>Cierra el año y 5% del inventario parece obsoleto antes de valorarlo.</t>
        </is>
      </c>
      <c r="F185" s="6" t="inlineStr">
        <is>
          <t>Cerrar con sistema</t>
        </is>
      </c>
      <c r="G185" s="6" t="inlineStr">
        <is>
          <t>Usas las cifras del sistema y no demoras el cierre más de 3 días.</t>
        </is>
      </c>
      <c r="H185" s="6" t="inlineStr">
        <is>
          <t>Costo ↑</t>
        </is>
      </c>
      <c r="I185" s="6" t="inlineStr">
        <is>
          <t>Costo</t>
        </is>
      </c>
      <c r="J185" s="6" t="inlineStr">
        <is>
          <t>Pasiva</t>
        </is>
      </c>
      <c r="K185" s="6" t="inlineStr">
        <is>
          <t>Pasividad: usaste las cifras del sistema y cerraste a tiempo; el inventario obsoleto quedó sin valorar.</t>
        </is>
      </c>
      <c r="L185" s="4" t="n"/>
      <c r="M185" s="4" t="n"/>
      <c r="N185" s="4" t="n"/>
      <c r="O185" s="6" t="inlineStr">
        <is>
          <t>The year closes and 5% of inventory looks obsolete before valuation.</t>
        </is>
      </c>
      <c r="P185" s="6" t="inlineStr">
        <is>
          <t>Close on system</t>
        </is>
      </c>
      <c r="Q185" s="6" t="inlineStr">
        <is>
          <t>You use the system figures and do not delay the close beyond 3 days.</t>
        </is>
      </c>
      <c r="R185" s="6" t="inlineStr">
        <is>
          <t>Cost ↑</t>
        </is>
      </c>
      <c r="S185" s="6" t="inlineStr">
        <is>
          <t>Passivity: you used the system figures and closed on time; the obsolete stock stayed unvalued.</t>
        </is>
      </c>
      <c r="T185" s="4" t="n"/>
    </row>
    <row r="186" ht="27" customHeight="1">
      <c r="A186" s="6" t="inlineStr">
        <is>
          <t>m12e</t>
        </is>
      </c>
      <c r="B186" s="6" t="inlineStr">
        <is>
          <t>11 a 12</t>
        </is>
      </c>
      <c r="C186" s="6" t="inlineStr">
        <is>
          <t>ENTORNO</t>
        </is>
      </c>
      <c r="D186" s="6" t="inlineStr">
        <is>
          <t>HOSPITALES</t>
        </is>
      </c>
      <c r="E186" s="6" t="inlineStr">
        <is>
          <t>Un paro de camioneros amenaza los despachos de diciembre, 18% del año.</t>
        </is>
      </c>
      <c r="F186" s="6" t="inlineStr">
        <is>
          <t>Adelantar despachos</t>
        </is>
      </c>
      <c r="G186" s="6" t="inlineStr">
        <is>
          <t>Adelantas 40% de los despachos y reservas 3 transportistas alternativos.</t>
        </is>
      </c>
      <c r="H186" s="6" t="inlineStr">
        <is>
          <t>Ventas ↑ · Flete ↓</t>
        </is>
      </c>
      <c r="I186" s="6" t="inlineStr">
        <is>
          <t>Flete</t>
        </is>
      </c>
      <c r="J186" s="6" t="inlineStr">
        <is>
          <t>Equilibrada</t>
        </is>
      </c>
      <c r="K186" s="6" t="inlineStr">
        <is>
          <t>Equilibrada: adelantaste 40% de los despachos y reservaste 3 transportistas: el paro no te tocó.</t>
        </is>
      </c>
      <c r="L186" s="4" t="n"/>
      <c r="M186" s="4" t="n"/>
      <c r="N186" s="4" t="n"/>
      <c r="O186" s="6" t="inlineStr">
        <is>
          <t>A trucker strike threatens December shipments, 18% of the year.</t>
        </is>
      </c>
      <c r="P186" s="6" t="inlineStr">
        <is>
          <t>Ship early</t>
        </is>
      </c>
      <c r="Q186" s="6" t="inlineStr">
        <is>
          <t>You ship 40% of the dispatches early and book 3 alternative carriers.</t>
        </is>
      </c>
      <c r="R186" s="6" t="inlineStr">
        <is>
          <t>Sales ↑ · Freight ↓</t>
        </is>
      </c>
      <c r="S186" s="6" t="inlineStr">
        <is>
          <t>Balanced: you moved 40% of shipments ahead and booked 3 carriers: the strike did not reach you.</t>
        </is>
      </c>
      <c r="T186" s="4" t="n"/>
    </row>
    <row r="187" ht="40.5" customHeight="1">
      <c r="A187" s="6" t="inlineStr">
        <is>
          <t>m12e</t>
        </is>
      </c>
      <c r="B187" s="6" t="inlineStr">
        <is>
          <t>11 a 12</t>
        </is>
      </c>
      <c r="C187" s="6" t="inlineStr">
        <is>
          <t>ENTORNO</t>
        </is>
      </c>
      <c r="D187" s="6" t="inlineStr">
        <is>
          <t>HOSPITALES</t>
        </is>
      </c>
      <c r="E187" s="6" t="inlineStr">
        <is>
          <t>Un paro de camioneros amenaza los despachos de diciembre, 18% del año.</t>
        </is>
      </c>
      <c r="F187" s="6" t="inlineStr">
        <is>
          <t>Sobreprecio</t>
        </is>
      </c>
      <c r="G187" s="6" t="inlineStr">
        <is>
          <t>Cargas 5% a los despachos por el paro y lo explicas después de facturar.</t>
        </is>
      </c>
      <c r="H187" s="6" t="inlineStr">
        <is>
          <t>Ventas ↑</t>
        </is>
      </c>
      <c r="I187" s="6" t="inlineStr">
        <is>
          <t>Ventas</t>
        </is>
      </c>
      <c r="J187" s="6" t="inlineStr">
        <is>
          <t>Atajo</t>
        </is>
      </c>
      <c r="K187" s="6" t="inlineStr">
        <is>
          <t>Atajo: cargaste 5% a los despachos por el paro y lo explicaste después de facturar; los clientes lo reclaman.</t>
        </is>
      </c>
      <c r="L187" s="4" t="n"/>
      <c r="M187" s="4" t="n"/>
      <c r="N187" s="4" t="n"/>
      <c r="O187" s="6" t="inlineStr">
        <is>
          <t>A trucker strike threatens December shipments, 18% of the year.</t>
        </is>
      </c>
      <c r="P187" s="6" t="inlineStr">
        <is>
          <t>Surcharge</t>
        </is>
      </c>
      <c r="Q187" s="6" t="inlineStr">
        <is>
          <t>You apply a 5% surcharge for the strike and explain it after invoicing.</t>
        </is>
      </c>
      <c r="R187" s="6" t="inlineStr">
        <is>
          <t>Sales ↑</t>
        </is>
      </c>
      <c r="S187" s="6" t="inlineStr">
        <is>
          <t>Shortcut: you added 5% to shipments for the strike and explained after billing; clients complain.</t>
        </is>
      </c>
      <c r="T187" s="4" t="n"/>
    </row>
    <row r="188" ht="40.5" customHeight="1">
      <c r="A188" s="6" t="inlineStr">
        <is>
          <t>m12e</t>
        </is>
      </c>
      <c r="B188" s="6" t="inlineStr">
        <is>
          <t>11 a 12</t>
        </is>
      </c>
      <c r="C188" s="6" t="inlineStr">
        <is>
          <t>ENTORNO</t>
        </is>
      </c>
      <c r="D188" s="6" t="inlineStr">
        <is>
          <t>HOSPITALES</t>
        </is>
      </c>
      <c r="E188" s="6" t="inlineStr">
        <is>
          <t>Un paro de camioneros amenaza los despachos de diciembre, 18% del año.</t>
        </is>
      </c>
      <c r="F188" s="6" t="inlineStr">
        <is>
          <t>Autorizar tarifas</t>
        </is>
      </c>
      <c r="G188" s="6" t="inlineStr">
        <is>
          <t>Autorizas la tarifa que pida cada transportista para cumplir las fechas.</t>
        </is>
      </c>
      <c r="H188" s="6" t="inlineStr">
        <is>
          <t>Flete ↑</t>
        </is>
      </c>
      <c r="I188" s="6" t="inlineStr">
        <is>
          <t>Flete</t>
        </is>
      </c>
      <c r="J188" s="6" t="inlineStr">
        <is>
          <t>Ceder</t>
        </is>
      </c>
      <c r="K188" s="6" t="inlineStr">
        <is>
          <t>Cesión: autorizaste la tarifa que pidiera cada transportista: se despachó todo, con un flete carísimo.</t>
        </is>
      </c>
      <c r="L188" s="4" t="n"/>
      <c r="M188" s="4" t="n"/>
      <c r="N188" s="4" t="n"/>
      <c r="O188" s="6" t="inlineStr">
        <is>
          <t>A trucker strike threatens December shipments, 18% of the year.</t>
        </is>
      </c>
      <c r="P188" s="6" t="inlineStr">
        <is>
          <t>Approve rates</t>
        </is>
      </c>
      <c r="Q188" s="6" t="inlineStr">
        <is>
          <t>You approve whatever rate each carrier quotes to meet the dates.</t>
        </is>
      </c>
      <c r="R188" s="6" t="inlineStr">
        <is>
          <t>Freight ↑</t>
        </is>
      </c>
      <c r="S188" s="6" t="inlineStr">
        <is>
          <t>Concession: you approved whatever rate each carrier asked: everything shipped, at a steep freight.</t>
        </is>
      </c>
      <c r="T188" s="4" t="n"/>
    </row>
    <row r="189" ht="40.5" customHeight="1">
      <c r="A189" s="6" t="inlineStr">
        <is>
          <t>m12e</t>
        </is>
      </c>
      <c r="B189" s="6" t="inlineStr">
        <is>
          <t>11 a 12</t>
        </is>
      </c>
      <c r="C189" s="6" t="inlineStr">
        <is>
          <t>ENTORNO</t>
        </is>
      </c>
      <c r="D189" s="6" t="inlineStr">
        <is>
          <t>HOSPITALES</t>
        </is>
      </c>
      <c r="E189" s="6" t="inlineStr">
        <is>
          <t>Un paro de camioneros amenaza los despachos de diciembre, 18% del año.</t>
        </is>
      </c>
      <c r="F189" s="6" t="inlineStr">
        <is>
          <t>Seguir con el plan</t>
        </is>
      </c>
      <c r="G189" s="6" t="inlineStr">
        <is>
          <t>Mantienes el plan con los camiones disponibles y los pedidos se acumulan.</t>
        </is>
      </c>
      <c r="H189" s="6" t="inlineStr">
        <is>
          <t>Ventas ↓</t>
        </is>
      </c>
      <c r="I189" s="6" t="inlineStr">
        <is>
          <t>Ventas</t>
        </is>
      </c>
      <c r="J189" s="6" t="inlineStr">
        <is>
          <t>Pasiva</t>
        </is>
      </c>
      <c r="K189" s="6" t="inlineStr">
        <is>
          <t>Pasividad: seguiste el plan con los camiones disponibles y los pedidos se acumularon sin llegar a tiempo.</t>
        </is>
      </c>
      <c r="L189" s="4" t="n"/>
      <c r="M189" s="4" t="n"/>
      <c r="N189" s="4" t="n"/>
      <c r="O189" s="6" t="inlineStr">
        <is>
          <t>A trucker strike threatens December shipments, 18% of the year.</t>
        </is>
      </c>
      <c r="P189" s="6" t="inlineStr">
        <is>
          <t>Run as planned</t>
        </is>
      </c>
      <c r="Q189" s="6" t="inlineStr">
        <is>
          <t>You keep the plan with the trucks available and orders pile up.</t>
        </is>
      </c>
      <c r="R189" s="6" t="inlineStr">
        <is>
          <t>Sales ↓</t>
        </is>
      </c>
      <c r="S189" s="6" t="inlineStr">
        <is>
          <t>Passivity: you kept the plan with the trucks available and orders piled up and arrived late.</t>
        </is>
      </c>
      <c r="T189" s="4" t="n"/>
    </row>
    <row r="190" ht="40.5" customHeight="1">
      <c r="A190" s="6" t="inlineStr">
        <is>
          <t>m12s</t>
        </is>
      </c>
      <c r="B190" s="6" t="inlineStr">
        <is>
          <t>11 a 12</t>
        </is>
      </c>
      <c r="C190" s="6" t="inlineStr">
        <is>
          <t>ESTRATEGIA</t>
        </is>
      </c>
      <c r="D190" s="6" t="inlineStr">
        <is>
          <t>ALIMENTOS</t>
        </is>
      </c>
      <c r="E190" s="6" t="inlineStr">
        <is>
          <t>Falta 1 mes para cerrar y el OI está 1 punto bajo el plan.</t>
        </is>
      </c>
      <c r="F190" s="6" t="inlineStr">
        <is>
          <t>Congelar cargos</t>
        </is>
      </c>
      <c r="G190" s="6" t="inlineStr">
        <is>
          <t>Congelas 2 cargos vacantes y pausas capacitaciones ajenas a las ventas.</t>
        </is>
      </c>
      <c r="H190" s="6" t="inlineStr">
        <is>
          <t>SG&amp;A ↓</t>
        </is>
      </c>
      <c r="I190" s="6" t="inlineStr">
        <is>
          <t>SG&amp;A</t>
        </is>
      </c>
      <c r="J190" s="6" t="inlineStr">
        <is>
          <t>Equilibrada</t>
        </is>
      </c>
      <c r="K190" s="6" t="inlineStr">
        <is>
          <t>Equilibrada: congelaste 2 cargos vacantes y pausaste capacitaciones ajenas a ventas: baja el SG&amp;A.</t>
        </is>
      </c>
      <c r="L190" s="4" t="n"/>
      <c r="M190" s="4" t="n"/>
      <c r="N190" s="4" t="n"/>
      <c r="O190" s="6" t="inlineStr">
        <is>
          <t>One month before the close and OI sits 1 point below plan.</t>
        </is>
      </c>
      <c r="P190" s="6" t="inlineStr">
        <is>
          <t>Freeze hiring</t>
        </is>
      </c>
      <c r="Q190" s="6" t="inlineStr">
        <is>
          <t>You freeze 2 open positions for 90 days and pause training unrelated to sales.</t>
        </is>
      </c>
      <c r="R190" s="6" t="inlineStr">
        <is>
          <t>SG&amp;A ↓</t>
        </is>
      </c>
      <c r="S190" s="6" t="inlineStr">
        <is>
          <t>Balanced: you froze 2 vacant positions and paused training unrelated to sales: the SG&amp;A really falls.</t>
        </is>
      </c>
      <c r="T190" s="4" t="n"/>
    </row>
    <row r="191" ht="40.5" customHeight="1">
      <c r="A191" s="6" t="inlineStr">
        <is>
          <t>m12s</t>
        </is>
      </c>
      <c r="B191" s="6" t="inlineStr">
        <is>
          <t>11 a 12</t>
        </is>
      </c>
      <c r="C191" s="6" t="inlineStr">
        <is>
          <t>ESTRATEGIA</t>
        </is>
      </c>
      <c r="D191" s="6" t="inlineStr">
        <is>
          <t>ALIMENTOS</t>
        </is>
      </c>
      <c r="E191" s="6" t="inlineStr">
        <is>
          <t>Falta 1 mes para cerrar y el OI está 1 punto bajo el plan.</t>
        </is>
      </c>
      <c r="F191" s="6" t="inlineStr">
        <is>
          <t>Adelantar facturas</t>
        </is>
      </c>
      <c r="G191" s="6" t="inlineStr">
        <is>
          <t>Adelantas facturación de enero a diciembre y cierras el año en plan.</t>
        </is>
      </c>
      <c r="H191" s="6" t="inlineStr">
        <is>
          <t>Ventas ↑ · SG&amp;A ↑ · LÍNEA ROJA</t>
        </is>
      </c>
      <c r="I191" s="6" t="inlineStr">
        <is>
          <t>Ventas</t>
        </is>
      </c>
      <c r="J191" s="6" t="inlineStr">
        <is>
          <t>Atajo</t>
        </is>
      </c>
      <c r="K191" s="6" t="inlineStr">
        <is>
          <t>Línea roja: adelantaste facturación de enero a diciembre. Es contabilidad engañosa: ajuste, multa y auditoría.</t>
        </is>
      </c>
      <c r="L191" s="4" t="n"/>
      <c r="M191" s="4" t="n"/>
      <c r="N191" s="4" t="n"/>
      <c r="O191" s="6" t="inlineStr">
        <is>
          <t>One month before the close and OI sits 1 point below plan.</t>
        </is>
      </c>
      <c r="P191" s="6" t="inlineStr">
        <is>
          <t>Pull invoices in</t>
        </is>
      </c>
      <c r="Q191" s="6" t="inlineStr">
        <is>
          <t>You pull January invoicing into December and land the year above plan.</t>
        </is>
      </c>
      <c r="R191" s="6" t="inlineStr">
        <is>
          <t>Sales ↑ · SG&amp;A ↑ · RED LINE</t>
        </is>
      </c>
      <c r="S191" s="6" t="inlineStr">
        <is>
          <t>Red line: you booked January invoices in December. It is misleading accounting: fine and audit.</t>
        </is>
      </c>
      <c r="T191" s="4" t="n"/>
    </row>
    <row r="192" ht="27" customHeight="1">
      <c r="A192" s="6" t="inlineStr">
        <is>
          <t>m12s</t>
        </is>
      </c>
      <c r="B192" s="6" t="inlineStr">
        <is>
          <t>11 a 12</t>
        </is>
      </c>
      <c r="C192" s="6" t="inlineStr">
        <is>
          <t>ESTRATEGIA</t>
        </is>
      </c>
      <c r="D192" s="6" t="inlineStr">
        <is>
          <t>ALIMENTOS</t>
        </is>
      </c>
      <c r="E192" s="6" t="inlineStr">
        <is>
          <t>Falta 1 mes para cerrar y el OI está 1 punto bajo el plan.</t>
        </is>
      </c>
      <c r="F192" s="6" t="inlineStr">
        <is>
          <t>Premiar al equipo</t>
        </is>
      </c>
      <c r="G192" s="6" t="inlineStr">
        <is>
          <t>Otorgas el bono completo al equipo, aunque el resultado quede lejos.</t>
        </is>
      </c>
      <c r="H192" s="6" t="inlineStr">
        <is>
          <t>SG&amp;A ↑</t>
        </is>
      </c>
      <c r="I192" s="6" t="inlineStr">
        <is>
          <t>SG&amp;A</t>
        </is>
      </c>
      <c r="J192" s="6" t="inlineStr">
        <is>
          <t>Ceder</t>
        </is>
      </c>
      <c r="K192" s="6" t="inlineStr">
        <is>
          <t>Cesión: otorgaste el bono completo al equipo aunque el resultado quedó lejos: más SG&amp;A, sin mérito.</t>
        </is>
      </c>
      <c r="L192" s="4" t="n"/>
      <c r="M192" s="4" t="n"/>
      <c r="N192" s="4" t="n"/>
      <c r="O192" s="6" t="inlineStr">
        <is>
          <t>One month before the close and OI sits 1 point below plan.</t>
        </is>
      </c>
      <c r="P192" s="6" t="inlineStr">
        <is>
          <t>Reward the team</t>
        </is>
      </c>
      <c r="Q192" s="6" t="inlineStr">
        <is>
          <t>You award the full bonus to the team, even if the result falls short.</t>
        </is>
      </c>
      <c r="R192" s="6" t="inlineStr">
        <is>
          <t>SG&amp;A ↑</t>
        </is>
      </c>
      <c r="S192" s="6" t="inlineStr">
        <is>
          <t>Concession: you gave the team the full bonus although results fell short: more SG&amp;A, no merit.</t>
        </is>
      </c>
      <c r="T192" s="4" t="n"/>
    </row>
    <row r="193" ht="40.5" customHeight="1">
      <c r="A193" s="6" t="inlineStr">
        <is>
          <t>m12s</t>
        </is>
      </c>
      <c r="B193" s="6" t="inlineStr">
        <is>
          <t>11 a 12</t>
        </is>
      </c>
      <c r="C193" s="6" t="inlineStr">
        <is>
          <t>ESTRATEGIA</t>
        </is>
      </c>
      <c r="D193" s="6" t="inlineStr">
        <is>
          <t>ALIMENTOS</t>
        </is>
      </c>
      <c r="E193" s="6" t="inlineStr">
        <is>
          <t>Falta 1 mes para cerrar y el OI está 1 punto bajo el plan.</t>
        </is>
      </c>
      <c r="F193" s="6" t="inlineStr">
        <is>
          <t>Ver qué sale</t>
        </is>
      </c>
      <c r="G193" s="6" t="inlineStr">
        <is>
          <t>Cierras el año como viene y analizas la diferencia con el plan después.</t>
        </is>
      </c>
      <c r="H193" s="6" t="inlineStr">
        <is>
          <t>SG&amp;A ↑</t>
        </is>
      </c>
      <c r="I193" s="6" t="inlineStr">
        <is>
          <t>SG&amp;A</t>
        </is>
      </c>
      <c r="J193" s="6" t="inlineStr">
        <is>
          <t>Pasiva</t>
        </is>
      </c>
      <c r="K193" s="6" t="inlineStr">
        <is>
          <t>Pasividad: cerraste como venía, sin tocar nada: el año termina 1 punto bajo el plan y sin explicación.</t>
        </is>
      </c>
      <c r="L193" s="4" t="n"/>
      <c r="M193" s="4" t="n"/>
      <c r="N193" s="4" t="n"/>
      <c r="O193" s="6" t="inlineStr">
        <is>
          <t>One month before the close and OI sits 1 point below plan.</t>
        </is>
      </c>
      <c r="P193" s="6" t="inlineStr">
        <is>
          <t>See what comes</t>
        </is>
      </c>
      <c r="Q193" s="6" t="inlineStr">
        <is>
          <t>You close the year as it stands and analyze the gap to plan afterwards.</t>
        </is>
      </c>
      <c r="R193" s="6" t="inlineStr">
        <is>
          <t>SG&amp;A ↑</t>
        </is>
      </c>
      <c r="S193" s="6" t="inlineStr">
        <is>
          <t>Passivity: you closed as it came, touching nothing: the year ends 1 point below plan, unexplained.</t>
        </is>
      </c>
      <c r="T193" s="4" t="n"/>
    </row>
  </sheetData>
  <autoFilter ref="A1:T193"/>
  <conditionalFormatting sqref="L2:L193">
    <cfRule type="expression" priority="1" dxfId="0">
      <formula>L2="No"</formula>
    </cfRule>
    <cfRule type="expression" priority="2" dxfId="1">
      <formula>L2="Ambiguo"</formula>
    </cfRule>
  </conditionalFormatting>
  <conditionalFormatting sqref="M2:M193">
    <cfRule type="expression" priority="3" dxfId="0">
      <formula>AND(M2&lt;&gt;"",M2&lt;&gt;I2)</formula>
    </cfRule>
  </conditionalFormatting>
  <conditionalFormatting sqref="T2:T193">
    <cfRule type="expression" priority="4" dxfId="0">
      <formula>T2="No"</formula>
    </cfRule>
  </conditionalFormatting>
  <dataValidations count="3">
    <dataValidation sqref="L2:L193" showDropDown="0" showInputMessage="0" showErrorMessage="0" allowBlank="1" errorTitle="Valor no válido" error="Elige un valor de la lista" type="list">
      <formula1>"Sí,No,Ambiguo"</formula1>
    </dataValidation>
    <dataValidation sqref="M2:M193" showDropDown="0" showInputMessage="0" showErrorMessage="0" allowBlank="1" errorTitle="Valor no válido" error="Elige un valor de la lista" type="list">
      <formula1>"Ventas,Incentivos,Costo,Flete,Direct Chg,SG&amp;A,Fuera del P&amp;L"</formula1>
    </dataValidation>
    <dataValidation sqref="T2:T193" showDropDown="0" showInputMessage="0" showErrorMessage="0" allowBlank="1" errorTitle="Valor no válido" error="Elige un valor de la lista" type="list">
      <formula1>"Sí,No"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2" customWidth="1" min="4" max="4"/>
    <col width="24" customWidth="1" min="5" max="5"/>
    <col width="44" customWidth="1" min="6" max="6"/>
    <col width="60" customWidth="1" min="7" max="7"/>
    <col width="60" customWidth="1" min="8" max="8"/>
    <col width="14" customWidth="1" min="9" max="9"/>
    <col width="16" customWidth="1" min="10" max="10"/>
    <col width="40" customWidth="1" min="11" max="11"/>
    <col width="40" customWidth="1" min="12" max="12"/>
  </cols>
  <sheetData>
    <row r="1" ht="32" customHeight="1">
      <c r="A1" s="5" t="inlineStr">
        <is>
          <t>ID</t>
        </is>
      </c>
      <c r="B1" s="5" t="inlineStr">
        <is>
          <t>Meses</t>
        </is>
      </c>
      <c r="C1" s="5" t="inlineStr">
        <is>
          <t>Voz</t>
        </is>
      </c>
      <c r="D1" s="5" t="inlineStr">
        <is>
          <t>Segmento</t>
        </is>
      </c>
      <c r="E1" s="5" t="inlineStr">
        <is>
          <t>Título</t>
        </is>
      </c>
      <c r="F1" s="5" t="inlineStr">
        <is>
          <t>Escena</t>
        </is>
      </c>
      <c r="G1" s="5" t="inlineStr">
        <is>
          <t>Ficha completa</t>
        </is>
      </c>
      <c r="H1" s="5" t="inlineStr">
        <is>
          <t>Respuesta equilibrada</t>
        </is>
      </c>
      <c r="I1" s="5" t="inlineStr">
        <is>
          <t>¿Escena realista?</t>
        </is>
      </c>
      <c r="J1" s="5" t="inlineStr">
        <is>
          <t>¿La equilibrada es la mejor?</t>
        </is>
      </c>
      <c r="K1" s="5" t="inlineStr">
        <is>
          <t>¿Falta una opción mejor? ¿Cuál?</t>
        </is>
      </c>
      <c r="L1" s="5" t="inlineStr">
        <is>
          <t>Comentario</t>
        </is>
      </c>
    </row>
    <row r="2" ht="67.5" customHeight="1">
      <c r="A2" s="6" t="inlineStr">
        <is>
          <t>m01c</t>
        </is>
      </c>
      <c r="B2" s="6" t="inlineStr">
        <is>
          <t>Cualquiera</t>
        </is>
      </c>
      <c r="C2" s="6" t="inlineStr">
        <is>
          <t>CLIENTE</t>
        </is>
      </c>
      <c r="D2" s="6" t="inlineStr">
        <is>
          <t>HOTELES</t>
        </is>
      </c>
      <c r="E2" s="6" t="inlineStr">
        <is>
          <t>Renovación anual</t>
        </is>
      </c>
      <c r="F2" s="6" t="inlineStr">
        <is>
          <t>Una cadena de hoteles, 18% de tus ventas, pide 3% de rebate para renovar.</t>
        </is>
      </c>
      <c r="G2" s="6" t="inlineStr">
        <is>
          <t>Una cadena de 6 hoteles te compra higiene y lavandería en todas sus sedes. Su contrato vence en 20 días y un competidor ya les cotizó. Gerencia comercial quiere cerrar rápido. (Cliente: cadena de 6 hoteles · Peso: 18% de tus ventas · Margen del cliente: 38%)</t>
        </is>
      </c>
      <c r="H2" s="6" t="inlineStr">
        <is>
          <t>Contrato a 2 años: Ofreces 1% de rebate y subes a 2% sobre el plan para que firmen 2 años.</t>
        </is>
      </c>
      <c r="I2" s="4" t="n"/>
      <c r="J2" s="4" t="n"/>
      <c r="K2" s="4" t="n"/>
      <c r="L2" s="4" t="n"/>
    </row>
    <row r="3" ht="67.5" customHeight="1">
      <c r="A3" s="6" t="inlineStr">
        <is>
          <t>m01p</t>
        </is>
      </c>
      <c r="B3" s="6" t="inlineStr">
        <is>
          <t>1 a 2</t>
        </is>
      </c>
      <c r="C3" s="6" t="inlineStr">
        <is>
          <t>PLANTA</t>
        </is>
      </c>
      <c r="D3" s="6" t="inlineStr">
        <is>
          <t>HOTELES</t>
        </is>
      </c>
      <c r="E3" s="6" t="inlineStr">
        <is>
          <t>Inventario bajo</t>
        </is>
      </c>
      <c r="F3" s="6" t="inlineStr">
        <is>
          <t>Quedan 3 semanas de insumos clave y en enero entran pedidos grandes.</t>
        </is>
      </c>
      <c r="G3" s="6" t="inlineStr">
        <is>
          <t>Enero es temporada alta: las cadenas hoteleras duplican su consumo de lavandería e higiene. Tu proveedor clave entrega en 20 días y la bodega tiene insumo para 3 semanas. (Cliente: hoteles en temporada alta · Pedidos de enero: +40% · Insumo en bodega: 3 semanas)</t>
        </is>
      </c>
      <c r="H3" s="6" t="inlineStr">
        <is>
          <t>Compra escalonada: Compras en 2 lotes, el segundo a 20 días, y avisas qué pedidos son firmes.</t>
        </is>
      </c>
      <c r="I3" s="4" t="n"/>
      <c r="J3" s="4" t="n"/>
      <c r="K3" s="4" t="n"/>
      <c r="L3" s="4" t="n"/>
    </row>
    <row r="4" ht="67.5" customHeight="1">
      <c r="A4" s="6" t="inlineStr">
        <is>
          <t>m01e</t>
        </is>
      </c>
      <c r="B4" s="6" t="inlineStr">
        <is>
          <t>1 a 4</t>
        </is>
      </c>
      <c r="C4" s="6" t="inlineStr">
        <is>
          <t>ENTORNO</t>
        </is>
      </c>
      <c r="D4" s="6" t="inlineStr">
        <is>
          <t>INDUSTRIA</t>
        </is>
      </c>
      <c r="E4" s="6" t="inlineStr">
        <is>
          <t>Presupuesto y dólar</t>
        </is>
      </c>
      <c r="F4" s="6" t="inlineStr">
        <is>
          <t>El dólar está 7% sobre el presupuesto y 40% de tus insumos son importados.</t>
        </is>
      </c>
      <c r="G4" s="6" t="inlineStr">
        <is>
          <t>Una planta industrial compra con contratos que fijan el precio por 12 meses, pero 40% de tus insumos se importan en dólares. El dólar ya está 7% sobre el presupuesto. (Cliente: plantas industriales · Insumos importados: 40% · Dólar sobre presupuesto: +7%)</t>
        </is>
      </c>
      <c r="H4" s="6" t="inlineStr">
        <is>
          <t>Reajuste por dólar: Pactas por escrito un reajuste según el dólar y compras a plazo la mitad.</t>
        </is>
      </c>
      <c r="I4" s="4" t="n"/>
      <c r="J4" s="4" t="n"/>
      <c r="K4" s="4" t="n"/>
      <c r="L4" s="4" t="n"/>
    </row>
    <row r="5" ht="67.5" customHeight="1">
      <c r="A5" s="6" t="inlineStr">
        <is>
          <t>m01s</t>
        </is>
      </c>
      <c r="B5" s="6" t="inlineStr">
        <is>
          <t>1 a 3</t>
        </is>
      </c>
      <c r="C5" s="6" t="inlineStr">
        <is>
          <t>ESTRATEGIA</t>
        </is>
      </c>
      <c r="D5" s="6" t="inlineStr">
        <is>
          <t>HOSPITALES</t>
        </is>
      </c>
      <c r="E5" s="6" t="inlineStr">
        <is>
          <t>Medir o empujar</t>
        </is>
      </c>
      <c r="F5" s="6" t="inlineStr">
        <is>
          <t>Corporativo pide 6% más de volumen; el ahorro de tus clientes sigue sin medir.</t>
        </is>
      </c>
      <c r="G5" s="6" t="inlineStr">
        <is>
          <t>Tu programa de higiene hospitalaria reduce infecciones, pero nadie ha medido cuánto ahorra a cada hospital. Corporativo quiere 6% más de volumen y los comités de compras piden evidencia. (Cliente: red de hospitales · Meta de corporativo: +6% volumen · Ahorro medido: ninguno)</t>
        </is>
      </c>
      <c r="H5" s="6" t="inlineStr">
        <is>
          <t>Medir el ahorro: Documentas el ahorro del agua de 3 clientes y negocias después con datos.</t>
        </is>
      </c>
      <c r="I5" s="4" t="n"/>
      <c r="J5" s="4" t="n"/>
      <c r="K5" s="4" t="n"/>
      <c r="L5" s="4" t="n"/>
    </row>
    <row r="6" ht="67.5" customHeight="1">
      <c r="A6" s="6" t="inlineStr">
        <is>
          <t>m02c</t>
        </is>
      </c>
      <c r="B6" s="6" t="inlineStr">
        <is>
          <t>Cualquiera</t>
        </is>
      </c>
      <c r="C6" s="6" t="inlineStr">
        <is>
          <t>CLIENTE</t>
        </is>
      </c>
      <c r="D6" s="6" t="inlineStr">
        <is>
          <t>ALIMENTOS</t>
        </is>
      </c>
      <c r="E6" s="6" t="inlineStr">
        <is>
          <t>Cambio de especificación</t>
        </is>
      </c>
      <c r="F6" s="6" t="inlineStr">
        <is>
          <t>Un cliente, 12% de tus ventas, pide otra especificación con 2 semanas de aviso.</t>
        </is>
      </c>
      <c r="G6" s="6" t="inlineStr">
        <is>
          <t>Una planta procesadora de alimentos cambia su línea de envasado y pide otra fórmula de sanitizante con solo 2 semanas de aviso. Su auditor de inocuidad revisará el cambio. (Cliente: planta de alimentos · Peso: 12% de tus ventas · Aviso: 2 semanas)</t>
        </is>
      </c>
      <c r="H6" s="6" t="inlineStr">
        <is>
          <t>Prueba corta: Haces una prueba de 3 días y pides al cliente acordar una fecha realista.</t>
        </is>
      </c>
      <c r="I6" s="4" t="n"/>
      <c r="J6" s="4" t="n"/>
      <c r="K6" s="4" t="n"/>
      <c r="L6" s="4" t="n"/>
    </row>
    <row r="7" ht="54" customHeight="1">
      <c r="A7" s="6" t="inlineStr">
        <is>
          <t>m02p</t>
        </is>
      </c>
      <c r="B7" s="6" t="inlineStr">
        <is>
          <t>Cualquiera</t>
        </is>
      </c>
      <c r="C7" s="6" t="inlineStr">
        <is>
          <t>PLANTA</t>
        </is>
      </c>
      <c r="D7" s="6" t="inlineStr">
        <is>
          <t>HOSPITALES</t>
        </is>
      </c>
      <c r="E7" s="6" t="inlineStr">
        <is>
          <t>Mantención vs pedidos</t>
        </is>
      </c>
      <c r="F7" s="6" t="inlineStr">
        <is>
          <t>Toca la mantención mayor, con 4 días de línea parada, y hay pedidos urgentes.</t>
        </is>
      </c>
      <c r="G7" s="6" t="inlineStr">
        <is>
          <t>La línea de desinfectantes necesita su mantención mayor: 4 días parada. Dos hospitales pidieron despachos urgentes por un brote y no aceptan atrasos. (Cliente: hospitales con brote · Pedidos urgentes: 5 · Línea parada: 4 días)</t>
        </is>
      </c>
      <c r="H7" s="6" t="inlineStr">
        <is>
          <t>Mantención parcial: Paras media línea en turnos, con 2 semanas de plazo, y repartes lo urgente.</t>
        </is>
      </c>
      <c r="I7" s="4" t="n"/>
      <c r="J7" s="4" t="n"/>
      <c r="K7" s="4" t="n"/>
      <c r="L7" s="4" t="n"/>
    </row>
    <row r="8" ht="67.5" customHeight="1">
      <c r="A8" s="6" t="inlineStr">
        <is>
          <t>m02e</t>
        </is>
      </c>
      <c r="B8" s="6" t="inlineStr">
        <is>
          <t>1 a 3</t>
        </is>
      </c>
      <c r="C8" s="6" t="inlineStr">
        <is>
          <t>ENTORNO</t>
        </is>
      </c>
      <c r="D8" s="6" t="inlineStr">
        <is>
          <t>HOTELES</t>
        </is>
      </c>
      <c r="E8" s="6" t="inlineStr">
        <is>
          <t>Temporal en la costa</t>
        </is>
      </c>
      <c r="F8" s="6" t="inlineStr">
        <is>
          <t>El temporal corta el camino de la costa: hay 14 despachos pendientes.</t>
        </is>
      </c>
      <c r="G8" s="6" t="inlineStr">
        <is>
          <t>Un temporal corta los caminos del litoral y 14 despachos a hoteles de playa están pendientes en plena temporada. Un hotel sin ropa limpia ni insumos de higiene no puede operar. (Cliente: hoteles de la costa · Despachos pendientes: 14 · Camino cortado: 1 semana)</t>
        </is>
      </c>
      <c r="H8" s="6" t="inlineStr">
        <is>
          <t>Ruta alterna: Tomas la ruta interior, 120 km más larga, y priorizas lo crítico.</t>
        </is>
      </c>
      <c r="I8" s="4" t="n"/>
      <c r="J8" s="4" t="n"/>
      <c r="K8" s="4" t="n"/>
      <c r="L8" s="4" t="n"/>
    </row>
    <row r="9" ht="67.5" customHeight="1">
      <c r="A9" s="6" t="inlineStr">
        <is>
          <t>m02s</t>
        </is>
      </c>
      <c r="B9" s="6" t="inlineStr">
        <is>
          <t>Cualquiera</t>
        </is>
      </c>
      <c r="C9" s="6" t="inlineStr">
        <is>
          <t>ESTRATEGIA</t>
        </is>
      </c>
      <c r="D9" s="6" t="inlineStr">
        <is>
          <t>INDUSTRIA</t>
        </is>
      </c>
      <c r="E9" s="6" t="inlineStr">
        <is>
          <t>Pronóstico agresivo</t>
        </is>
      </c>
      <c r="F9" s="6" t="inlineStr">
        <is>
          <t>Corporativo pide subir 8% el pronóstico del año para la reunión del lunes.</t>
        </is>
      </c>
      <c r="G9" s="6" t="inlineStr">
        <is>
          <t>Corporativo necesita subir 8% el pronóstico del año para presentarlo a los inversionistas el lunes. Tu caso base ya es exigente y varias plantas clientes recortaron producción. (Cliente: plantas industriales · Aumento pedido: +8% · Reunión: el lunes)</t>
        </is>
      </c>
      <c r="H9" s="6" t="inlineStr">
        <is>
          <t>Pronóstico en rango: Entregas un caso base y otro optimista de +8%, ambos explicados.</t>
        </is>
      </c>
      <c r="I9" s="4" t="n"/>
      <c r="J9" s="4" t="n"/>
      <c r="K9" s="4" t="n"/>
      <c r="L9" s="4" t="n"/>
    </row>
    <row r="10" ht="67.5" customHeight="1">
      <c r="A10" s="6" t="inlineStr">
        <is>
          <t>m03c</t>
        </is>
      </c>
      <c r="B10" s="6" t="inlineStr">
        <is>
          <t>Cualquiera</t>
        </is>
      </c>
      <c r="C10" s="6" t="inlineStr">
        <is>
          <t>CLIENTE</t>
        </is>
      </c>
      <c r="D10" s="6" t="inlineStr">
        <is>
          <t>INDUSTRIA</t>
        </is>
      </c>
      <c r="E10" s="6" t="inlineStr">
        <is>
          <t>Lote fuera de norma</t>
        </is>
      </c>
      <c r="F10" s="6" t="inlineStr">
        <is>
          <t>Un cliente reclama 40 toneladas que salieron fuera de especificación.</t>
        </is>
      </c>
      <c r="G10" s="6" t="inlineStr">
        <is>
          <t>Una planta industrial reclama 40 toneladas de producto fuera de especificación, que detuvieron una de sus líneas por un día. Su gerente de planta pide una respuesta hoy. (Cliente: planta industrial · Lote reclamado: 40 toneladas · Respuesta pedida: hoy)</t>
        </is>
      </c>
      <c r="H10" s="6" t="inlineStr">
        <is>
          <t>Reponer el lote: Repones hoy las 40 toneladas y compartes el análisis para evitar otro reclamo.</t>
        </is>
      </c>
      <c r="I10" s="4" t="n"/>
      <c r="J10" s="4" t="n"/>
      <c r="K10" s="4" t="n"/>
      <c r="L10" s="4" t="n"/>
    </row>
    <row r="11" ht="67.5" customHeight="1">
      <c r="A11" s="6" t="inlineStr">
        <is>
          <t>m03p</t>
        </is>
      </c>
      <c r="B11" s="6" t="inlineStr">
        <is>
          <t>Cualquiera</t>
        </is>
      </c>
      <c r="C11" s="6" t="inlineStr">
        <is>
          <t>PLANTA</t>
        </is>
      </c>
      <c r="D11" s="6" t="inlineStr">
        <is>
          <t>HOSPITALES</t>
        </is>
      </c>
      <c r="E11" s="6" t="inlineStr">
        <is>
          <t>Falla y materia prima</t>
        </is>
      </c>
      <c r="F11" s="6" t="inlineStr">
        <is>
          <t>Falla una bomba de la línea 2 y quedan 5 días de una materia prima clave.</t>
        </is>
      </c>
      <c r="G11" s="6" t="inlineStr">
        <is>
          <t>Falla una bomba de la línea 2 y solo quedan 5 días de una materia prima clave. Los pedidos más críticos son de hospitales que no pueden quedarse sin desinfectante. (Cliente: hospitales (pedidos críticos) · Materia prima: 5 días · Línea 2: detenida)</t>
        </is>
      </c>
      <c r="H11" s="6" t="inlineStr">
        <is>
          <t>Priorizar pedidos: Priorizas los críticos con lo que queda y compras la bomba a un local.</t>
        </is>
      </c>
      <c r="I11" s="4" t="n"/>
      <c r="J11" s="4" t="n"/>
      <c r="K11" s="4" t="n"/>
      <c r="L11" s="4" t="n"/>
    </row>
    <row r="12" ht="67.5" customHeight="1">
      <c r="A12" s="6" t="inlineStr">
        <is>
          <t>m03e</t>
        </is>
      </c>
      <c r="B12" s="6" t="inlineStr">
        <is>
          <t>Cualquiera</t>
        </is>
      </c>
      <c r="C12" s="6" t="inlineStr">
        <is>
          <t>ENTORNO</t>
        </is>
      </c>
      <c r="D12" s="6" t="inlineStr">
        <is>
          <t>HOSPITALES</t>
        </is>
      </c>
      <c r="E12" s="6" t="inlineStr">
        <is>
          <t>Norma sanitaria</t>
        </is>
      </c>
      <c r="F12" s="6" t="inlineStr">
        <is>
          <t>Sale un borrador de norma sanitaria y 3 clientes grandes frenan compras.</t>
        </is>
      </c>
      <c r="G12" s="6" t="inlineStr">
        <is>
          <t>La autoridad sanitaria publica un borrador de norma con más controles en hospitales. Tres de tus mayores clientes congelan compras hasta ver el texto final, en 2 meses. (Cliente: hospitales y clínicas · Clientes que frenan: 3 · Norma final: en 2 meses)</t>
        </is>
      </c>
      <c r="H12" s="6" t="inlineStr">
        <is>
          <t>Ver escenarios: Conversas por cliente sus escenarios y ofreces descuento solo a pedidos firmes.</t>
        </is>
      </c>
      <c r="I12" s="4" t="n"/>
      <c r="J12" s="4" t="n"/>
      <c r="K12" s="4" t="n"/>
      <c r="L12" s="4" t="n"/>
    </row>
    <row r="13" ht="67.5" customHeight="1">
      <c r="A13" s="6" t="inlineStr">
        <is>
          <t>m03s</t>
        </is>
      </c>
      <c r="B13" s="6" t="inlineStr">
        <is>
          <t>Cualquiera</t>
        </is>
      </c>
      <c r="C13" s="6" t="inlineStr">
        <is>
          <t>ESTRATEGIA</t>
        </is>
      </c>
      <c r="D13" s="6" t="inlineStr">
        <is>
          <t>ALIMENTOS</t>
        </is>
      </c>
      <c r="E13" s="6" t="inlineStr">
        <is>
          <t>Producto de agua</t>
        </is>
      </c>
      <c r="F13" s="6" t="inlineStr">
        <is>
          <t>Oportunidad: un programa de ahorro de agua que 5 plantas preguntaron.</t>
        </is>
      </c>
      <c r="G13" s="6" t="inlineStr">
        <is>
          <t>Cinco plantas de alimentos preguntaron por un programa que reduce el agua de sus lavados y enjuagues. Es un servicio nuevo: hay demanda, pero nadie lo ha probado en una planta de tu cartera. (Cliente: plantas de alimentos · Plantas interesadas: 5 · Servicio: nuevo, sin pilotos)</t>
        </is>
      </c>
      <c r="H13" s="6" t="inlineStr">
        <is>
          <t>Piloto acotado: Lo pruebas 3 meses en un cliente amigo y mides el efecto antes de escalar.</t>
        </is>
      </c>
      <c r="I13" s="4" t="n"/>
      <c r="J13" s="4" t="n"/>
      <c r="K13" s="4" t="n"/>
      <c r="L13" s="4" t="n"/>
    </row>
    <row r="14" ht="67.5" customHeight="1">
      <c r="A14" s="6" t="inlineStr">
        <is>
          <t>m04c</t>
        </is>
      </c>
      <c r="B14" s="6" t="inlineStr">
        <is>
          <t>Cualquiera</t>
        </is>
      </c>
      <c r="C14" s="6" t="inlineStr">
        <is>
          <t>CLIENTE</t>
        </is>
      </c>
      <c r="D14" s="6" t="inlineStr">
        <is>
          <t>HOSPITALES</t>
        </is>
      </c>
      <c r="E14" s="6" t="inlineStr">
        <is>
          <t>Recorte de presupuesto</t>
        </is>
      </c>
      <c r="F14" s="6" t="inlineStr">
        <is>
          <t>Un cliente recorta 10% su presupuesto de insumos y pide bajar los precios.</t>
        </is>
      </c>
      <c r="G14" s="6" t="inlineStr">
        <is>
          <t>Una red de hospitales recorta 10% su presupuesto de insumos por un ajuste de salud y pide bajar los precios. Tiene otros proveedores a mano y su comité decide en 30 días. (Cliente: red de hospitales · Peso: 10% de tus ventas · Presupuesto del cliente: -10%)</t>
        </is>
      </c>
      <c r="H14" s="6" t="inlineStr">
        <is>
          <t>Bajar su consumo: Ajustas la dosis para que gaste 10% menos y cobras un servicio por ello.</t>
        </is>
      </c>
      <c r="I14" s="4" t="n"/>
      <c r="J14" s="4" t="n"/>
      <c r="K14" s="4" t="n"/>
      <c r="L14" s="4" t="n"/>
    </row>
    <row r="15" ht="67.5" customHeight="1">
      <c r="A15" s="6" t="inlineStr">
        <is>
          <t>m04p</t>
        </is>
      </c>
      <c r="B15" s="6" t="inlineStr">
        <is>
          <t>Cualquiera</t>
        </is>
      </c>
      <c r="C15" s="6" t="inlineStr">
        <is>
          <t>PLANTA</t>
        </is>
      </c>
      <c r="D15" s="6" t="inlineStr">
        <is>
          <t>INDUSTRIA</t>
        </is>
      </c>
      <c r="E15" s="6" t="inlineStr">
        <is>
          <t>Rotación de operadores</t>
        </is>
      </c>
      <c r="F15" s="6" t="inlineStr">
        <is>
          <t>Se van 2 de 9 operadores clave y los turnos quedan incompletos.</t>
        </is>
      </c>
      <c r="G15" s="6" t="inlineStr">
        <is>
          <t>Dos de tus 9 operadores clave renunciaron para irse a la competencia y los turnos de la línea de dosificación quedan incompletos. Reemplazarlos toma meses de capacitación. (Cliente: plantas industriales · Operadores que se van: 2 de 9 · Reemplazo: 6 semanas de práctica)</t>
        </is>
      </c>
      <c r="H15" s="6" t="inlineStr">
        <is>
          <t>Plan de relevo: Capacitas a dos jóvenes con 6 semanas de práctica y reorganizas los turnos.</t>
        </is>
      </c>
      <c r="I15" s="4" t="n"/>
      <c r="J15" s="4" t="n"/>
      <c r="K15" s="4" t="n"/>
      <c r="L15" s="4" t="n"/>
    </row>
    <row r="16" ht="67.5" customHeight="1">
      <c r="A16" s="6" t="inlineStr">
        <is>
          <t>m04e</t>
        </is>
      </c>
      <c r="B16" s="6" t="inlineStr">
        <is>
          <t>Cualquiera</t>
        </is>
      </c>
      <c r="C16" s="6" t="inlineStr">
        <is>
          <t>ENTORNO</t>
        </is>
      </c>
      <c r="D16" s="6" t="inlineStr">
        <is>
          <t>INDUSTRIA</t>
        </is>
      </c>
      <c r="E16" s="6" t="inlineStr">
        <is>
          <t>Impuesto verde</t>
        </is>
      </c>
      <c r="F16" s="6" t="inlineStr">
        <is>
          <t>Entra un impuesto verde y los clientes revisan todos sus contratos de insumos.</t>
        </is>
      </c>
      <c r="G16" s="6" t="inlineStr">
        <is>
          <t>Un nuevo impuesto verde encarece la energía de tus clientes industriales y todos revisan sus contratos de insumos para recortar costos. Algunos no tienen otro proveedor calificado. (Cliente: plantas industriales · Clientes que renegocian: 8 · Sin otro proveedor calificado: 3)</t>
        </is>
      </c>
      <c r="H16" s="6" t="inlineStr">
        <is>
          <t>Contratos por valor: Propones contratos atados al ahorro que generas, no solo al volumen.</t>
        </is>
      </c>
      <c r="I16" s="4" t="n"/>
      <c r="J16" s="4" t="n"/>
      <c r="K16" s="4" t="n"/>
      <c r="L16" s="4" t="n"/>
    </row>
    <row r="17" ht="67.5" customHeight="1">
      <c r="A17" s="6" t="inlineStr">
        <is>
          <t>m04s</t>
        </is>
      </c>
      <c r="B17" s="6" t="inlineStr">
        <is>
          <t>Cualquiera</t>
        </is>
      </c>
      <c r="C17" s="6" t="inlineStr">
        <is>
          <t>ESTRATEGIA</t>
        </is>
      </c>
      <c r="D17" s="6" t="inlineStr">
        <is>
          <t>INDUSTRIA</t>
        </is>
      </c>
      <c r="E17" s="6" t="inlineStr">
        <is>
          <t>Recorte de SG&amp;A</t>
        </is>
      </c>
      <c r="F17" s="6" t="inlineStr">
        <is>
          <t>Corporativo pide bajar 5% el SG&amp;A desde el próximo mes.</t>
        </is>
      </c>
      <c r="G17" s="6" t="inlineStr">
        <is>
          <t>Corporativo pide bajar 5% el SG&amp;A desde el próximo mes para proteger el margen del grupo. Tu equipo ya viene justo y las visitas a clientes y la medición del valor dependen de ese presupuesto. (Cliente: plantas industriales · Recorte pedido: 5% del SG&amp;A · Plazo: desde el próximo mes)</t>
        </is>
      </c>
      <c r="H17" s="6" t="inlineStr">
        <is>
          <t>Recorte selectivo: Recortas viajes y consultorías y proteges visitas a clientes y medición.</t>
        </is>
      </c>
      <c r="I17" s="4" t="n"/>
      <c r="J17" s="4" t="n"/>
      <c r="K17" s="4" t="n"/>
      <c r="L17" s="4" t="n"/>
    </row>
    <row r="18" ht="67.5" customHeight="1">
      <c r="A18" s="6" t="inlineStr">
        <is>
          <t>m05c</t>
        </is>
      </c>
      <c r="B18" s="6" t="inlineStr">
        <is>
          <t>Cualquiera</t>
        </is>
      </c>
      <c r="C18" s="6" t="inlineStr">
        <is>
          <t>CLIENTE</t>
        </is>
      </c>
      <c r="D18" s="6" t="inlineStr">
        <is>
          <t>HOSPITALES</t>
        </is>
      </c>
      <c r="E18" s="6" t="inlineStr">
        <is>
          <t>Visitas sin costo</t>
        </is>
      </c>
      <c r="F18" s="6" t="inlineStr">
        <is>
          <t>Un cliente (9% de tus ventas) pide visitas semanales sin pagar más.</t>
        </is>
      </c>
      <c r="G18" s="6" t="inlineStr">
        <is>
          <t>Un hospital grande pide una visita técnica semanal para auditar la dosificación, sin pagar más. Cada visita cuesta horas de tu equipo y otros hospitales podrían pedir lo mismo. (Cliente: hospital grande · Peso: 9% de tus ventas · Visitas pedidas: 4 por mes)</t>
        </is>
      </c>
      <c r="H18" s="6" t="inlineStr">
        <is>
          <t>Visitas por demanda: Ofreces monitoreo remoto para que se visite solo si el dato lo pide.</t>
        </is>
      </c>
      <c r="I18" s="4" t="n"/>
      <c r="J18" s="4" t="n"/>
      <c r="K18" s="4" t="n"/>
      <c r="L18" s="4" t="n"/>
    </row>
    <row r="19" ht="67.5" customHeight="1">
      <c r="A19" s="6" t="inlineStr">
        <is>
          <t>m05p</t>
        </is>
      </c>
      <c r="B19" s="6" t="inlineStr">
        <is>
          <t>Cualquiera</t>
        </is>
      </c>
      <c r="C19" s="6" t="inlineStr">
        <is>
          <t>PLANTA</t>
        </is>
      </c>
      <c r="D19" s="6" t="inlineStr">
        <is>
          <t>ALIMENTOS</t>
        </is>
      </c>
      <c r="E19" s="6" t="inlineStr">
        <is>
          <t>Incidente de seguridad</t>
        </is>
      </c>
      <c r="F19" s="6" t="inlineStr">
        <is>
          <t>Hay un incidente sin heridos en la planta y en 10 días llega una auditoría.</t>
        </is>
      </c>
      <c r="G19" s="6" t="inlineStr">
        <is>
          <t>Hay una fuga de producto en tu planta de sanitizantes: sin heridos, pero el procedimiento falló. En 10 días llega la auditoría de seguridad de un cliente de alimentos. (Cliente: industria de alimentos · Auditoría: en 10 días · Pedidos en curso: 120)</t>
        </is>
      </c>
      <c r="H19" s="6" t="inlineStr">
        <is>
          <t>Investigar causa: Detienes la zona 2 días con el equipo y corriges el procedimiento.</t>
        </is>
      </c>
      <c r="I19" s="4" t="n"/>
      <c r="J19" s="4" t="n"/>
      <c r="K19" s="4" t="n"/>
      <c r="L19" s="4" t="n"/>
    </row>
    <row r="20" ht="67.5" customHeight="1">
      <c r="A20" s="6" t="inlineStr">
        <is>
          <t>m05e</t>
        </is>
      </c>
      <c r="B20" s="6" t="inlineStr">
        <is>
          <t>Cualquiera</t>
        </is>
      </c>
      <c r="C20" s="6" t="inlineStr">
        <is>
          <t>ENTORNO</t>
        </is>
      </c>
      <c r="D20" s="6" t="inlineStr">
        <is>
          <t>HOTELES</t>
        </is>
      </c>
      <c r="E20" s="6" t="inlineStr">
        <is>
          <t>Cae el turismo</t>
        </is>
      </c>
      <c r="F20" s="6" t="inlineStr">
        <is>
          <t>El turismo cae 15% y los hoteles congelan las compras no esenciales.</t>
        </is>
      </c>
      <c r="G20" s="6" t="inlineStr">
        <is>
          <t>Una caída de 15% en el turismo baja la ocupación de los hoteles. Las cadenas congelan las compras que no son esenciales y piden mejores condiciones a todos sus proveedores. (Cliente: cadenas hoteleras · Caída del turismo: -15% · Compras congeladas: no esenciales)</t>
        </is>
      </c>
      <c r="H20" s="6" t="inlineStr">
        <is>
          <t>Rebate por volumen: Pactas un rebate de 1% por los volúmenes sobre su compra mínima.</t>
        </is>
      </c>
      <c r="I20" s="4" t="n"/>
      <c r="J20" s="4" t="n"/>
      <c r="K20" s="4" t="n"/>
      <c r="L20" s="4" t="n"/>
    </row>
    <row r="21" ht="67.5" customHeight="1">
      <c r="A21" s="6" t="inlineStr">
        <is>
          <t>m05s</t>
        </is>
      </c>
      <c r="B21" s="6" t="inlineStr">
        <is>
          <t>Cualquiera</t>
        </is>
      </c>
      <c r="C21" s="6" t="inlineStr">
        <is>
          <t>ESTRATEGIA</t>
        </is>
      </c>
      <c r="D21" s="6" t="inlineStr">
        <is>
          <t>INDUSTRIA</t>
        </is>
      </c>
      <c r="E21" s="6" t="inlineStr">
        <is>
          <t>Monitoreo remoto</t>
        </is>
      </c>
      <c r="F21" s="6" t="inlineStr">
        <is>
          <t>Puedes invertir en monitoreo remoto para 6 plantas con visitas mensuales.</t>
        </is>
      </c>
      <c r="G21" s="6" t="inlineStr">
        <is>
          <t>El monitoreo remoto reemplaza las visitas mensuales a 6 plantas clientes. El equipo es una inversión: se deprecia en años, pero la instalación y el servicio cuestan este año. (Cliente: 6 plantas industriales · Inversión total: 0,8 · Visitas hoy: 1 por mes)</t>
        </is>
      </c>
      <c r="H21" s="6" t="inlineStr">
        <is>
          <t>Invertir por etapas: Instalas en 2 plantas mayores y calculas el ahorro en visitas por 6 meses.</t>
        </is>
      </c>
      <c r="I21" s="4" t="n"/>
      <c r="J21" s="4" t="n"/>
      <c r="K21" s="4" t="n"/>
      <c r="L21" s="4" t="n"/>
    </row>
    <row r="22" ht="67.5" customHeight="1">
      <c r="A22" s="6" t="inlineStr">
        <is>
          <t>m06c</t>
        </is>
      </c>
      <c r="B22" s="6" t="inlineStr">
        <is>
          <t>Cualquiera</t>
        </is>
      </c>
      <c r="C22" s="6" t="inlineStr">
        <is>
          <t>CLIENTE</t>
        </is>
      </c>
      <c r="D22" s="6" t="inlineStr">
        <is>
          <t>HOTELES</t>
        </is>
      </c>
      <c r="E22" s="6" t="inlineStr">
        <is>
          <t>Competidor 8% menor</t>
        </is>
      </c>
      <c r="F22" s="6" t="inlineStr">
        <is>
          <t>Un competidor ofrece 8% menos y amenaza un contrato de 14% de ventas.</t>
        </is>
      </c>
      <c r="G22" s="6" t="inlineStr">
        <is>
          <t>Un competidor ofrece 8% menos a una cadena hotelera que pesa 14% de tus ventas. El comprador valora tu servicio, pero la gerencia general presiona por bajar el costo de los insumos. (Cliente: cadena hotelera · Peso: 14% de tus ventas · Oferta rival: 8% menos)</t>
        </is>
      </c>
      <c r="H22" s="6" t="inlineStr">
        <is>
          <t>Mostrar el ahorro: Presentas el ahorro medido y sostienes el precio con un rebate a 2 años.</t>
        </is>
      </c>
      <c r="I22" s="4" t="n"/>
      <c r="J22" s="4" t="n"/>
      <c r="K22" s="4" t="n"/>
      <c r="L22" s="4" t="n"/>
    </row>
    <row r="23" ht="67.5" customHeight="1">
      <c r="A23" s="6" t="inlineStr">
        <is>
          <t>m06p</t>
        </is>
      </c>
      <c r="B23" s="6" t="inlineStr">
        <is>
          <t>Cualquiera</t>
        </is>
      </c>
      <c r="C23" s="6" t="inlineStr">
        <is>
          <t>PLANTA</t>
        </is>
      </c>
      <c r="D23" s="6" t="inlineStr">
        <is>
          <t>HOSPITALES</t>
        </is>
      </c>
      <c r="E23" s="6" t="inlineStr">
        <is>
          <t>Deriva de calidad</t>
        </is>
      </c>
      <c r="F23" s="6" t="inlineStr">
        <is>
          <t>Esta semana 4 lotes de 10 salen al límite de la especificación.</t>
        </is>
      </c>
      <c r="G23" s="6" t="inlineStr">
        <is>
          <t>Esta semana 4 de 10 lotes de desinfectante salen al límite de la especificación. Los hospitales exigen certificado de calidad por lote y un lote dudoso puede costar una auditoría. (Cliente: hospitales · Lotes al límite: 4 de 10 · Certificado: por cada lote)</t>
        </is>
      </c>
      <c r="H23" s="6" t="inlineStr">
        <is>
          <t>Ajustar el proceso: Ajustas el proceso con calidad y refuerzas los controles del lote.</t>
        </is>
      </c>
      <c r="I23" s="4" t="n"/>
      <c r="J23" s="4" t="n"/>
      <c r="K23" s="4" t="n"/>
      <c r="L23" s="4" t="n"/>
    </row>
    <row r="24" ht="67.5" customHeight="1">
      <c r="A24" s="6" t="inlineStr">
        <is>
          <t>m06e</t>
        </is>
      </c>
      <c r="B24" s="6" t="inlineStr">
        <is>
          <t>Cualquiera</t>
        </is>
      </c>
      <c r="C24" s="6" t="inlineStr">
        <is>
          <t>ENTORNO</t>
        </is>
      </c>
      <c r="D24" s="6" t="inlineStr">
        <is>
          <t>ALIMENTOS</t>
        </is>
      </c>
      <c r="E24" s="6" t="inlineStr">
        <is>
          <t>Norma de agua</t>
        </is>
      </c>
      <c r="F24" s="6" t="inlineStr">
        <is>
          <t>Una norma ambiental limita 20% el uso de agua en las plantas de alimentos.</t>
        </is>
      </c>
      <c r="G24" s="6" t="inlineStr">
        <is>
          <t>Una norma ambiental obliga a las plantas de alimentos a usar 20% menos agua. Tus clientes necesitan soluciones ya y todos los competidores están ofreciendo programas. (Cliente: plantas de alimentos · Recorte de agua exigido: 20% · Plazo para cumplir: 6 meses)</t>
        </is>
      </c>
      <c r="H24" s="6" t="inlineStr">
        <is>
          <t>Programa de reuso: Propones un programa de reuso de agua con pago por m3 ahorrado.</t>
        </is>
      </c>
      <c r="I24" s="4" t="n"/>
      <c r="J24" s="4" t="n"/>
      <c r="K24" s="4" t="n"/>
      <c r="L24" s="4" t="n"/>
    </row>
    <row r="25" ht="67.5" customHeight="1">
      <c r="A25" s="6" t="inlineStr">
        <is>
          <t>m06s</t>
        </is>
      </c>
      <c r="B25" s="6" t="inlineStr">
        <is>
          <t>Cualquiera</t>
        </is>
      </c>
      <c r="C25" s="6" t="inlineStr">
        <is>
          <t>ESTRATEGIA</t>
        </is>
      </c>
      <c r="D25" s="6" t="inlineStr">
        <is>
          <t>HOTELES</t>
        </is>
      </c>
      <c r="E25" s="6" t="inlineStr">
        <is>
          <t>Nuevo país</t>
        </is>
      </c>
      <c r="F25" s="6" t="inlineStr">
        <is>
          <t>Un cliente grande de otro país pide cotización en 30 días.</t>
        </is>
      </c>
      <c r="G25" s="6" t="inlineStr">
        <is>
          <t>Una cadena hotelera con sedes en otro país te pide cotizar higiene para sus hoteles allá. Mercado nuevo: sin distribuidor, sin precios de referencia y con requisitos locales. (Cliente: cadena hotelera extranjera · Plazo para cotizar: 30 días · Presencia local: ninguna)</t>
        </is>
      </c>
      <c r="H25" s="6" t="inlineStr">
        <is>
          <t>Entrar con socio: Eliges un distribuidor local y limitas la inversión del primer año.</t>
        </is>
      </c>
      <c r="I25" s="4" t="n"/>
      <c r="J25" s="4" t="n"/>
      <c r="K25" s="4" t="n"/>
      <c r="L25" s="4" t="n"/>
    </row>
    <row r="26" ht="67.5" customHeight="1">
      <c r="A26" s="6" t="inlineStr">
        <is>
          <t>m07c</t>
        </is>
      </c>
      <c r="B26" s="6" t="inlineStr">
        <is>
          <t>Cualquiera</t>
        </is>
      </c>
      <c r="C26" s="6" t="inlineStr">
        <is>
          <t>CLIENTE</t>
        </is>
      </c>
      <c r="D26" s="6" t="inlineStr">
        <is>
          <t>INDUSTRIA</t>
        </is>
      </c>
      <c r="E26" s="6" t="inlineStr">
        <is>
          <t>Auditoría de costos</t>
        </is>
      </c>
      <c r="F26" s="6" t="inlineStr">
        <is>
          <t>Un cliente (11% de tus ventas) pide auditar tus costos y tu margen.</t>
        </is>
      </c>
      <c r="G26" s="6" t="inlineStr">
        <is>
          <t>Una planta industrial que pesa 11% de tus ventas pide auditar tus costos y tu margen antes de renovar. Su comprador sospecha que el flete y el servicio vienen inflados. (Cliente: planta industrial · Peso: 11% de tus ventas · Pedido: auditar costos y margen)</t>
        </is>
      </c>
      <c r="H26" s="6" t="inlineStr">
        <is>
          <t>Abrir con reglas: Aceptas auditar y muestras flete y Direct Chg para acordar cómo comparar.</t>
        </is>
      </c>
      <c r="I26" s="4" t="n"/>
      <c r="J26" s="4" t="n"/>
      <c r="K26" s="4" t="n"/>
      <c r="L26" s="4" t="n"/>
    </row>
    <row r="27" ht="67.5" customHeight="1">
      <c r="A27" s="6" t="inlineStr">
        <is>
          <t>m07p</t>
        </is>
      </c>
      <c r="B27" s="6" t="inlineStr">
        <is>
          <t>Cualquiera</t>
        </is>
      </c>
      <c r="C27" s="6" t="inlineStr">
        <is>
          <t>PLANTA</t>
        </is>
      </c>
      <c r="D27" s="6" t="inlineStr">
        <is>
          <t>ALIMENTOS</t>
        </is>
      </c>
      <c r="E27" s="6" t="inlineStr">
        <is>
          <t>Proveedor atrasado</t>
        </is>
      </c>
      <c r="F27" s="6" t="inlineStr">
        <is>
          <t>Tu único proveedor se atrasa 3 semanas con un insumo que pesa 30% del costo.</t>
        </is>
      </c>
      <c r="G27" s="6" t="inlineStr">
        <is>
          <t>Tu único proveedor de un insumo que pesa 30% del costo avisa un atraso de 3 semanas. Una planta de alimentos espera tus pedidos y no acepta entregas incompletas. (Insumo: 30% del costo · Atraso: 3 semanas · Proveedores calificados: 1)</t>
        </is>
      </c>
      <c r="H27" s="6" t="inlineStr">
        <is>
          <t>Segundo proveedor: Calificas un segundo proveedor con 2 pruebas y cubres el hueco con stock.</t>
        </is>
      </c>
      <c r="I27" s="4" t="n"/>
      <c r="J27" s="4" t="n"/>
      <c r="K27" s="4" t="n"/>
      <c r="L27" s="4" t="n"/>
    </row>
    <row r="28" ht="67.5" customHeight="1">
      <c r="A28" s="6" t="inlineStr">
        <is>
          <t>m07e</t>
        </is>
      </c>
      <c r="B28" s="6" t="inlineStr">
        <is>
          <t>6 a 8</t>
        </is>
      </c>
      <c r="C28" s="6" t="inlineStr">
        <is>
          <t>ENTORNO</t>
        </is>
      </c>
      <c r="D28" s="6" t="inlineStr">
        <is>
          <t>HOSPITALES</t>
        </is>
      </c>
      <c r="E28" s="6" t="inlineStr">
        <is>
          <t>Temporal de nieve</t>
        </is>
      </c>
      <c r="F28" s="6" t="inlineStr">
        <is>
          <t>Un temporal de nieve cierra el paso a la cordillera por 7 días.</t>
        </is>
      </c>
      <c r="G28" s="6" t="inlineStr">
        <is>
          <t>Un temporal de nieve cierra el paso a la cordillera por 7 días. Tres hospitales regionales tienen desinfectantes para 10 días y no pueden quedarse sin ellos. (Cliente: hospitales regionales · Paso cerrado: 7 días · Stock del cliente: 10 días)</t>
        </is>
      </c>
      <c r="H28" s="6" t="inlineStr">
        <is>
          <t>Stock en el cliente: Adelantas stock a la bodega del cliente por 10 días y reprogramas despachos.</t>
        </is>
      </c>
      <c r="I28" s="4" t="n"/>
      <c r="J28" s="4" t="n"/>
      <c r="K28" s="4" t="n"/>
      <c r="L28" s="4" t="n"/>
    </row>
    <row r="29" ht="67.5" customHeight="1">
      <c r="A29" s="6" t="inlineStr">
        <is>
          <t>m07s</t>
        </is>
      </c>
      <c r="B29" s="6" t="inlineStr">
        <is>
          <t>Cualquiera</t>
        </is>
      </c>
      <c r="C29" s="6" t="inlineStr">
        <is>
          <t>ESTRATEGIA</t>
        </is>
      </c>
      <c r="D29" s="6" t="inlineStr">
        <is>
          <t>HOSPITALES</t>
        </is>
      </c>
      <c r="E29" s="6" t="inlineStr">
        <is>
          <t>Reorganización</t>
        </is>
      </c>
      <c r="F29" s="6" t="inlineStr">
        <is>
          <t>Corporativo propone reorganizar el equipo y bajar 10% la dotación.</t>
        </is>
      </c>
      <c r="G29" s="6" t="inlineStr">
        <is>
          <t>Corporativo propone reorganizar el equipo y bajar 10% la dotación. Tus 40 personas atienden hospitales con visitas de servicio y cada cargo tiene clientes a su cargo. (Dotación: 40 personas · Meta: 10% menos (4 cargos) · Plazo: este trimestre)</t>
        </is>
      </c>
      <c r="H29" s="6" t="inlineStr">
        <is>
          <t>Rediseñar roles: Reasignas funciones y automatizas los procesos antes de bajar 4 cargos.</t>
        </is>
      </c>
      <c r="I29" s="4" t="n"/>
      <c r="J29" s="4" t="n"/>
      <c r="K29" s="4" t="n"/>
      <c r="L29" s="4" t="n"/>
    </row>
    <row r="30" ht="67.5" customHeight="1">
      <c r="A30" s="6" t="inlineStr">
        <is>
          <t>m08c</t>
        </is>
      </c>
      <c r="B30" s="6" t="inlineStr">
        <is>
          <t>Cualquiera</t>
        </is>
      </c>
      <c r="C30" s="6" t="inlineStr">
        <is>
          <t>CLIENTE</t>
        </is>
      </c>
      <c r="D30" s="6" t="inlineStr">
        <is>
          <t>HOSPITALES</t>
        </is>
      </c>
      <c r="E30" s="6" t="inlineStr">
        <is>
          <t>Nuevo comprador</t>
        </is>
      </c>
      <c r="F30" s="6" t="inlineStr">
        <is>
          <t>El nuevo jefe de compras de un cliente (16% de ventas) quiere licitar.</t>
        </is>
      </c>
      <c r="G30" s="6" t="inlineStr">
        <is>
          <t>El nuevo jefe de compras de una red de hospitales (16% de tus ventas) quiere licitar todo el suministro. Llegó con la meta de bajar costos y no conoce tu historial. (Cliente: red de hospitales · Peso: 16% de tus ventas · Proceso: licitación abierta)</t>
        </is>
      </c>
      <c r="H30" s="6" t="inlineStr">
        <is>
          <t>Reunión de valor: Presentas resultados medidos para proponer un rebate escalonado a 2 años.</t>
        </is>
      </c>
      <c r="I30" s="4" t="n"/>
      <c r="J30" s="4" t="n"/>
      <c r="K30" s="4" t="n"/>
      <c r="L30" s="4" t="n"/>
    </row>
    <row r="31" ht="67.5" customHeight="1">
      <c r="A31" s="6" t="inlineStr">
        <is>
          <t>m08p</t>
        </is>
      </c>
      <c r="B31" s="6" t="inlineStr">
        <is>
          <t>Cualquiera</t>
        </is>
      </c>
      <c r="C31" s="6" t="inlineStr">
        <is>
          <t>PLANTA</t>
        </is>
      </c>
      <c r="D31" s="6" t="inlineStr">
        <is>
          <t>HOTELES</t>
        </is>
      </c>
      <c r="E31" s="6" t="inlineStr">
        <is>
          <t>Capacidad al límite</t>
        </is>
      </c>
      <c r="F31" s="6" t="inlineStr">
        <is>
          <t>La demanda supera 12% la capacidad de la planta por 3 meses.</t>
        </is>
      </c>
      <c r="G31" s="6" t="inlineStr">
        <is>
          <t>En plena temporada alta, los hoteles piden 12% más de lo que tu planta puede producir durante 3 meses. Producir más cuesta; rechazar pedidos también. (Cliente: hoteles en temporada alta · Demanda sobre capacidad: +12% · Duración: 3 meses)</t>
        </is>
      </c>
      <c r="H31" s="6" t="inlineStr">
        <is>
          <t>Turno adicional: Agregas un turno planificado y mantienes la prioridad por margen en producción.</t>
        </is>
      </c>
      <c r="I31" s="4" t="n"/>
      <c r="J31" s="4" t="n"/>
      <c r="K31" s="4" t="n"/>
      <c r="L31" s="4" t="n"/>
    </row>
    <row r="32" ht="54" customHeight="1">
      <c r="A32" s="6" t="inlineStr">
        <is>
          <t>m08e</t>
        </is>
      </c>
      <c r="B32" s="6" t="inlineStr">
        <is>
          <t>Cualquiera</t>
        </is>
      </c>
      <c r="C32" s="6" t="inlineStr">
        <is>
          <t>ENTORNO</t>
        </is>
      </c>
      <c r="D32" s="6" t="inlineStr">
        <is>
          <t>ALIMENTOS</t>
        </is>
      </c>
      <c r="E32" s="6" t="inlineStr">
        <is>
          <t>Sube el dólar</t>
        </is>
      </c>
      <c r="F32" s="6" t="inlineStr">
        <is>
          <t>El dólar sube 10% y tu costo de insumos importados también.</t>
        </is>
      </c>
      <c r="G32" s="6" t="inlineStr">
        <is>
          <t>El dólar sube 10% y tus insumos importados se encarecen igual. Las plantas de alimentos te compran con listas de precio que se revisan cada 3 meses. (Cliente: plantas de alimentos · Dólar: +10% · Revisión de precios: cada 3 meses)</t>
        </is>
      </c>
      <c r="H32" s="6" t="inlineStr">
        <is>
          <t>Traspaso gradual: Subes por etapas la mitad del alza en los precios con aviso de 30 días.</t>
        </is>
      </c>
      <c r="I32" s="4" t="n"/>
      <c r="J32" s="4" t="n"/>
      <c r="K32" s="4" t="n"/>
      <c r="L32" s="4" t="n"/>
    </row>
    <row r="33" ht="67.5" customHeight="1">
      <c r="A33" s="6" t="inlineStr">
        <is>
          <t>m08s</t>
        </is>
      </c>
      <c r="B33" s="6" t="inlineStr">
        <is>
          <t>Cualquiera</t>
        </is>
      </c>
      <c r="C33" s="6" t="inlineStr">
        <is>
          <t>ESTRATEGIA</t>
        </is>
      </c>
      <c r="D33" s="6" t="inlineStr">
        <is>
          <t>HOTELES</t>
        </is>
      </c>
      <c r="E33" s="6" t="inlineStr">
        <is>
          <t>Alianza con distribuidor</t>
        </is>
      </c>
      <c r="F33" s="6" t="inlineStr">
        <is>
          <t>Un distribuidor atendería a tus clientes pequeños por 8% de comisión.</t>
        </is>
      </c>
      <c r="G33" s="6" t="inlineStr">
        <is>
          <t>Un distribuidor se ofrece a atender a tus clientes pequeños (hoteles de barrio y hostales) por una comisión de 8%. Bajarías costos de visitas, pero cedes la relación con ellos. (Clientes pequeños: 120 · Comisión del distribuidor: 8% · Piloto posible: 10 clientes)</t>
        </is>
      </c>
      <c r="H33" s="6" t="inlineStr">
        <is>
          <t>Piloto de 6 meses: Pruebas con 10 clientes pequeños y comparas el servicio y el margen.</t>
        </is>
      </c>
      <c r="I33" s="4" t="n"/>
      <c r="J33" s="4" t="n"/>
      <c r="K33" s="4" t="n"/>
      <c r="L33" s="4" t="n"/>
    </row>
    <row r="34" ht="67.5" customHeight="1">
      <c r="A34" s="6" t="inlineStr">
        <is>
          <t>m09c</t>
        </is>
      </c>
      <c r="B34" s="6" t="inlineStr">
        <is>
          <t>Cualquiera</t>
        </is>
      </c>
      <c r="C34" s="6" t="inlineStr">
        <is>
          <t>CLIENTE</t>
        </is>
      </c>
      <c r="D34" s="6" t="inlineStr">
        <is>
          <t>HOTELES</t>
        </is>
      </c>
      <c r="E34" s="6" t="inlineStr">
        <is>
          <t>Volumen por precio</t>
        </is>
      </c>
      <c r="F34" s="6" t="inlineStr">
        <is>
          <t>Un cliente (13% de tus ventas) promete 20% más volumen si le bajas 5%.</t>
        </is>
      </c>
      <c r="G34" s="6" t="inlineStr">
        <is>
          <t>Una cadena de hoteles (13% de tus ventas) promete 20% más volumen si le bajas 5%. Es crecimiento posible, pero la promesa no está firmada y su margen ya es bajo. (Cliente: cadena de hoteles · Volumen prometido: +20% · Rebaja pedida: 5%)</t>
        </is>
      </c>
      <c r="H34" s="6" t="inlineStr">
        <is>
          <t>Descuento por tramo: Rebajas 5% en los embarques nuevos y revisas el resultado a los 3 meses.</t>
        </is>
      </c>
      <c r="I34" s="4" t="n"/>
      <c r="J34" s="4" t="n"/>
      <c r="K34" s="4" t="n"/>
      <c r="L34" s="4" t="n"/>
    </row>
    <row r="35" ht="67.5" customHeight="1">
      <c r="A35" s="6" t="inlineStr">
        <is>
          <t>m09p</t>
        </is>
      </c>
      <c r="B35" s="6" t="inlineStr">
        <is>
          <t>Cualquiera</t>
        </is>
      </c>
      <c r="C35" s="6" t="inlineStr">
        <is>
          <t>PLANTA</t>
        </is>
      </c>
      <c r="D35" s="6" t="inlineStr">
        <is>
          <t>INDUSTRIA</t>
        </is>
      </c>
      <c r="E35" s="6" t="inlineStr">
        <is>
          <t>Energía en horario punta</t>
        </is>
      </c>
      <c r="F35" s="6" t="inlineStr">
        <is>
          <t>La tarifa eléctrica sube 12% en horario punta, donde la planta gasta 40%.</t>
        </is>
      </c>
      <c r="G35" s="6" t="inlineStr">
        <is>
          <t>La tarifa eléctrica sube 12% en horario punta, justo cuando tu planta gasta 40% de su energía. Mover la producción tiene costo, y no hacer nada también. (Tarifa en horario punta: +12% · Gasto de energía en punta: 40% · Revisión de tarifa: en 3 meses)</t>
        </is>
      </c>
      <c r="H35" s="6" t="inlineStr">
        <is>
          <t>Mover la carga: Pasas 2 líneas de la planta al turno de noche y mantienes los pedidos.</t>
        </is>
      </c>
      <c r="I35" s="4" t="n"/>
      <c r="J35" s="4" t="n"/>
      <c r="K35" s="4" t="n"/>
      <c r="L35" s="4" t="n"/>
    </row>
    <row r="36" ht="54" customHeight="1">
      <c r="A36" s="6" t="inlineStr">
        <is>
          <t>m09e</t>
        </is>
      </c>
      <c r="B36" s="6" t="inlineStr">
        <is>
          <t>Cualquiera</t>
        </is>
      </c>
      <c r="C36" s="6" t="inlineStr">
        <is>
          <t>ENTORNO</t>
        </is>
      </c>
      <c r="D36" s="6" t="inlineStr">
        <is>
          <t>HOTELES</t>
        </is>
      </c>
      <c r="E36" s="6" t="inlineStr">
        <is>
          <t>Elecciones</t>
        </is>
      </c>
      <c r="F36" s="6" t="inlineStr">
        <is>
          <t>Vienen elecciones y 4 clientes frenan pedidos por la incertidumbre.</t>
        </is>
      </c>
      <c r="G36" s="6" t="inlineStr">
        <is>
          <t>Vienen elecciones y 4 cadenas hoteleras frenan pedidos por la incertidumbre. Quieren esperar el resultado antes de comprometer inventario. (Cliente: cadenas hoteleras · Clientes que frenan: 4 · Elección: en 6 semanas)</t>
        </is>
      </c>
      <c r="H36" s="6" t="inlineStr">
        <is>
          <t>Contrato puente: Firmas contratos de 6 meses a precio fijo, con opción de ampliar a 12.</t>
        </is>
      </c>
      <c r="I36" s="4" t="n"/>
      <c r="J36" s="4" t="n"/>
      <c r="K36" s="4" t="n"/>
      <c r="L36" s="4" t="n"/>
    </row>
    <row r="37" ht="67.5" customHeight="1">
      <c r="A37" s="6" t="inlineStr">
        <is>
          <t>m09s</t>
        </is>
      </c>
      <c r="B37" s="6" t="inlineStr">
        <is>
          <t>Cualquiera</t>
        </is>
      </c>
      <c r="C37" s="6" t="inlineStr">
        <is>
          <t>ESTRATEGIA</t>
        </is>
      </c>
      <c r="D37" s="6" t="inlineStr">
        <is>
          <t>ALIMENTOS</t>
        </is>
      </c>
      <c r="E37" s="6" t="inlineStr">
        <is>
          <t>Contrato del proveedor</t>
        </is>
      </c>
      <c r="F37" s="6" t="inlineStr">
        <is>
          <t>Tu proveedor clave (32% del costo) ofrece 6% menos por 3 años de contrato.</t>
        </is>
      </c>
      <c r="G37" s="6" t="inlineStr">
        <is>
          <t>Tu proveedor clave (32% del costo) ofrece 6% menos si firmas por 3 años. Para una planta de alimentos el insumo es crítico, pero atarte tanto tiempo también tiene riesgos. (Insumo: 32% del costo · Descuento ofrecido: 6% · Contrato: 3 años)</t>
        </is>
      </c>
      <c r="H37" s="6" t="inlineStr">
        <is>
          <t>Contrato con salida: Firmas 36 meses con una cláusula de salida al mes 18 y precio indexado.</t>
        </is>
      </c>
      <c r="I37" s="4" t="n"/>
      <c r="J37" s="4" t="n"/>
      <c r="K37" s="4" t="n"/>
      <c r="L37" s="4" t="n"/>
    </row>
    <row r="38" ht="67.5" customHeight="1">
      <c r="A38" s="6" t="inlineStr">
        <is>
          <t>m10c</t>
        </is>
      </c>
      <c r="B38" s="6" t="inlineStr">
        <is>
          <t>Cualquiera</t>
        </is>
      </c>
      <c r="C38" s="6" t="inlineStr">
        <is>
          <t>CLIENTE</t>
        </is>
      </c>
      <c r="D38" s="6" t="inlineStr">
        <is>
          <t>ALIMENTOS</t>
        </is>
      </c>
      <c r="E38" s="6" t="inlineStr">
        <is>
          <t>Equipos en comodato</t>
        </is>
      </c>
      <c r="F38" s="6" t="inlineStr">
        <is>
          <t>Un cliente pide 3 dosificadores en comodato para sus plantas nuevas.</t>
        </is>
      </c>
      <c r="G38" s="6" t="inlineStr">
        <is>
          <t>Una planta de alimentos pide 3 dosificadores en comodato para sus líneas nuevas. Los equipos son tuyos y su mantención corre por tu cuenta, aunque compre poco. (Equipos pedidos: 3 dosificadores · Compra mínima: sin acordar · Mantención: por tu cuenta)</t>
        </is>
      </c>
      <c r="H38" s="6" t="inlineStr">
        <is>
          <t>Comodato con mínimo: Entregas los equipos si compra un mínimo anual y paga el mantenimiento.</t>
        </is>
      </c>
      <c r="I38" s="4" t="n"/>
      <c r="J38" s="4" t="n"/>
      <c r="K38" s="4" t="n"/>
      <c r="L38" s="4" t="n"/>
    </row>
    <row r="39" ht="67.5" customHeight="1">
      <c r="A39" s="6" t="inlineStr">
        <is>
          <t>m10p</t>
        </is>
      </c>
      <c r="B39" s="6" t="inlineStr">
        <is>
          <t>8 a 12</t>
        </is>
      </c>
      <c r="C39" s="6" t="inlineStr">
        <is>
          <t>PLANTA</t>
        </is>
      </c>
      <c r="D39" s="6" t="inlineStr">
        <is>
          <t>INDUSTRIA</t>
        </is>
      </c>
      <c r="E39" s="6" t="inlineStr">
        <is>
          <t>Paro parcial</t>
        </is>
      </c>
      <c r="F39" s="6" t="inlineStr">
        <is>
          <t>El sindicato anuncia 2 días de paro parcial si no hay bono de fin de año.</t>
        </is>
      </c>
      <c r="G39" s="6" t="inlineStr">
        <is>
          <t>El sindicato de tu planta anuncia 2 días de paro parcial si no hay bono de fin de año. Los pedidos de las fiestas están en curso y una línea detenida atrasa a los clientes. (Paro anunciado: 2 días · Pedidos de fin de año: en curso · Bono exigido: fijo y anual)</t>
        </is>
      </c>
      <c r="H39" s="6" t="inlineStr">
        <is>
          <t>Bono por metas: Pagas un bono variable ligado a metas de planta y seguridad, en 2 cuotas.</t>
        </is>
      </c>
      <c r="I39" s="4" t="n"/>
      <c r="J39" s="4" t="n"/>
      <c r="K39" s="4" t="n"/>
      <c r="L39" s="4" t="n"/>
    </row>
    <row r="40" ht="67.5" customHeight="1">
      <c r="A40" s="6" t="inlineStr">
        <is>
          <t>m10e</t>
        </is>
      </c>
      <c r="B40" s="6" t="inlineStr">
        <is>
          <t>Cualquiera</t>
        </is>
      </c>
      <c r="C40" s="6" t="inlineStr">
        <is>
          <t>ENTORNO</t>
        </is>
      </c>
      <c r="D40" s="6" t="inlineStr">
        <is>
          <t>ALIMENTOS</t>
        </is>
      </c>
      <c r="E40" s="6" t="inlineStr">
        <is>
          <t>Sequía en la planta</t>
        </is>
      </c>
      <c r="F40" s="6" t="inlineStr">
        <is>
          <t>Una sequía recorta 20% el agua de tu planta y no cubre todos los pedidos.</t>
        </is>
      </c>
      <c r="G40" s="6" t="inlineStr">
        <is>
          <t>Una sequía recorta 20% el agua que usa tu planta y no alcanza para todos los pedidos. Las plantas de alimentos esperan sus entregas y no todos los pedidos rinden igual. (Agua disponible: 20% menos · Pedidos sin cubrir: 1 de 4 · Cliente: plantas de alimentos)</t>
        </is>
      </c>
      <c r="H40" s="6" t="inlineStr">
        <is>
          <t>Pedidos rentables: Asignas el volumen a los pedidos que más rinden y avisas al resto.</t>
        </is>
      </c>
      <c r="I40" s="4" t="n"/>
      <c r="J40" s="4" t="n"/>
      <c r="K40" s="4" t="n"/>
      <c r="L40" s="4" t="n"/>
    </row>
    <row r="41" ht="54" customHeight="1">
      <c r="A41" s="6" t="inlineStr">
        <is>
          <t>m10s</t>
        </is>
      </c>
      <c r="B41" s="6" t="inlineStr">
        <is>
          <t>9 a 12</t>
        </is>
      </c>
      <c r="C41" s="6" t="inlineStr">
        <is>
          <t>ESTRATEGIA</t>
        </is>
      </c>
      <c r="D41" s="6" t="inlineStr">
        <is>
          <t>HOSPITALES</t>
        </is>
      </c>
      <c r="E41" s="6" t="inlineStr">
        <is>
          <t>Feria del sector</t>
        </is>
      </c>
      <c r="F41" s="6" t="inlineStr">
        <is>
          <t>La feria anual cuesta 0,5 en stand y viajes, y 6 de tus clientes no irán.</t>
        </is>
      </c>
      <c r="G41" s="6" t="inlineStr">
        <is>
          <t>La feria anual del sector hospitalario cuesta 0,5 en stand y viajes. Seis de tus clientes más importantes ya avisaron que no irán este año. (Costo de la feria: 0,5 · Clientes que no irán: 6 · Citas ya agendadas: 15)</t>
        </is>
      </c>
      <c r="H41" s="6" t="inlineStr">
        <is>
          <t>Ir con citas: Vas con un stand pequeño y 15 citas ya agendadas con clientes.</t>
        </is>
      </c>
      <c r="I41" s="4" t="n"/>
      <c r="J41" s="4" t="n"/>
      <c r="K41" s="4" t="n"/>
      <c r="L41" s="4" t="n"/>
    </row>
    <row r="42" ht="67.5" customHeight="1">
      <c r="A42" s="6" t="inlineStr">
        <is>
          <t>m11c</t>
        </is>
      </c>
      <c r="B42" s="6" t="inlineStr">
        <is>
          <t>Cualquiera</t>
        </is>
      </c>
      <c r="C42" s="6" t="inlineStr">
        <is>
          <t>CLIENTE</t>
        </is>
      </c>
      <c r="D42" s="6" t="inlineStr">
        <is>
          <t>INDUSTRIA</t>
        </is>
      </c>
      <c r="E42" s="6" t="inlineStr">
        <is>
          <t>Cargos en disputa</t>
        </is>
      </c>
      <c r="F42" s="6" t="inlineStr">
        <is>
          <t>Un cliente objeta 3% de cargos en 4 facturas, pero sigue comprando.</t>
        </is>
      </c>
      <c r="G42" s="6" t="inlineStr">
        <is>
          <t>Una planta industrial objeta 3% de cargos en 4 facturas, pero sigue comprando. Cada cargo discutido es plata en suspenso y la discusión puede desgastar la relación. (Cargos en disputa: 3% · Facturas objetadas: 4 · Cliente: planta industrial)</t>
        </is>
      </c>
      <c r="H42" s="6" t="inlineStr">
        <is>
          <t>Revisar cada cargo: Revisas las 4 facturas con el cliente y arreglas lo que esté mal.</t>
        </is>
      </c>
      <c r="I42" s="4" t="n"/>
      <c r="J42" s="4" t="n"/>
      <c r="K42" s="4" t="n"/>
      <c r="L42" s="4" t="n"/>
    </row>
    <row r="43" ht="54" customHeight="1">
      <c r="A43" s="6" t="inlineStr">
        <is>
          <t>m11p</t>
        </is>
      </c>
      <c r="B43" s="6" t="inlineStr">
        <is>
          <t>11 a 12</t>
        </is>
      </c>
      <c r="C43" s="6" t="inlineStr">
        <is>
          <t>PLANTA</t>
        </is>
      </c>
      <c r="D43" s="6" t="inlineStr">
        <is>
          <t>HOTELES</t>
        </is>
      </c>
      <c r="E43" s="6" t="inlineStr">
        <is>
          <t>Turnos de fin de año</t>
        </is>
      </c>
      <c r="F43" s="6" t="inlineStr">
        <is>
          <t>Llega fin de año con 30% más de pedidos y gente que pide vacaciones.</t>
        </is>
      </c>
      <c r="G43" s="6" t="inlineStr">
        <is>
          <t>Llega fin de año con 30% más de pedidos de hoteles por las fiestas, justo cuando tu gente pide vacaciones. Faltan manos y los turnos no alcanzan. (Pedidos de fin de año: +30% · Cliente: hoteles en fiestas · Permisos pedidos: 12)</t>
        </is>
      </c>
      <c r="H43" s="6" t="inlineStr">
        <is>
          <t>Turnos rotativos: Rotas a la gente con permisos justos y un bono de 3% por cumplir.</t>
        </is>
      </c>
      <c r="I43" s="4" t="n"/>
      <c r="J43" s="4" t="n"/>
      <c r="K43" s="4" t="n"/>
      <c r="L43" s="4" t="n"/>
    </row>
    <row r="44" ht="54" customHeight="1">
      <c r="A44" s="6" t="inlineStr">
        <is>
          <t>m11e</t>
        </is>
      </c>
      <c r="B44" s="6" t="inlineStr">
        <is>
          <t>Cualquiera</t>
        </is>
      </c>
      <c r="C44" s="6" t="inlineStr">
        <is>
          <t>ENTORNO</t>
        </is>
      </c>
      <c r="D44" s="6" t="inlineStr">
        <is>
          <t>INDUSTRIA</t>
        </is>
      </c>
      <c r="E44" s="6" t="inlineStr">
        <is>
          <t>Bloqueo de caminos</t>
        </is>
      </c>
      <c r="F44" s="6" t="inlineStr">
        <is>
          <t>Un bloqueo en la ruta principal detiene tus despachos por 3 semanas.</t>
        </is>
      </c>
      <c r="G44" s="6" t="inlineStr">
        <is>
          <t>Un bloqueo de la ruta principal detiene tus despachos por 3 semanas. Hay 20 pedidos pendientes para plantas industriales que dependen de tus entregas. (Pedidos pendientes: 20 · Bloqueo: 3 semanas · Cliente: plantas industriales)</t>
        </is>
      </c>
      <c r="H44" s="6" t="inlineStr">
        <is>
          <t>Desvío: Coordinas un desvío con el cliente y hablas con los vecinos.</t>
        </is>
      </c>
      <c r="I44" s="4" t="n"/>
      <c r="J44" s="4" t="n"/>
      <c r="K44" s="4" t="n"/>
      <c r="L44" s="4" t="n"/>
    </row>
    <row r="45" ht="67.5" customHeight="1">
      <c r="A45" s="6" t="inlineStr">
        <is>
          <t>m11s</t>
        </is>
      </c>
      <c r="B45" s="6" t="inlineStr">
        <is>
          <t>Cualquiera</t>
        </is>
      </c>
      <c r="C45" s="6" t="inlineStr">
        <is>
          <t>ESTRATEGIA</t>
        </is>
      </c>
      <c r="D45" s="6" t="inlineStr">
        <is>
          <t>HOTELES</t>
        </is>
      </c>
      <c r="E45" s="6" t="inlineStr">
        <is>
          <t>Comisiones de ventas</t>
        </is>
      </c>
      <c r="F45" s="6" t="inlineStr">
        <is>
          <t>Tus vendedores cobran 3% sobre la venta, aunque el margen sea bajo.</t>
        </is>
      </c>
      <c r="G45" s="6" t="inlineStr">
        <is>
          <t>Tus vendedores cobran 3% sobre la venta, sin importar el margen. Algunos cierran grandes ventas a precio muy bajo y la comisión se come lo poco que queda. (Comisión actual: 3% de la venta · Vendedores: 12 · Margen en ventas grandes: bajo)</t>
        </is>
      </c>
      <c r="H45" s="6" t="inlineStr">
        <is>
          <t>Comisión por margen: Cambias la base de comisión a margen y fijas un piso de 1% por 6 meses.</t>
        </is>
      </c>
      <c r="I45" s="4" t="n"/>
      <c r="J45" s="4" t="n"/>
      <c r="K45" s="4" t="n"/>
      <c r="L45" s="4" t="n"/>
    </row>
    <row r="46" ht="67.5" customHeight="1">
      <c r="A46" s="6" t="inlineStr">
        <is>
          <t>m12c</t>
        </is>
      </c>
      <c r="B46" s="6" t="inlineStr">
        <is>
          <t>Cualquiera</t>
        </is>
      </c>
      <c r="C46" s="6" t="inlineStr">
        <is>
          <t>CLIENTE</t>
        </is>
      </c>
      <c r="D46" s="6" t="inlineStr">
        <is>
          <t>ALIMENTOS</t>
        </is>
      </c>
      <c r="E46" s="6" t="inlineStr">
        <is>
          <t>Contrato a precio fijo</t>
        </is>
      </c>
      <c r="F46" s="6" t="inlineStr">
        <is>
          <t>Un cliente ofrece renovar 3 años a precio fijo, sin reajuste por inflación.</t>
        </is>
      </c>
      <c r="G46" s="6" t="inlineStr">
        <is>
          <t>Una planta de alimentos grande y fiel ofrece renovar 3 años, pero a precio fijo y sin reajuste por inflación. Tus costos de insumos pueden subir; el precio no se mueve. (Contrato: 36 meses · Precio: fijo, sin reajuste · Peso del cliente: 12% de tus ventas)</t>
        </is>
      </c>
      <c r="H46" s="6" t="inlineStr">
        <is>
          <t>Fijo con tope: Aceptas 36 meses y pides un tope de variación atado al costo de insumos.</t>
        </is>
      </c>
      <c r="I46" s="4" t="n"/>
      <c r="J46" s="4" t="n"/>
      <c r="K46" s="4" t="n"/>
      <c r="L46" s="4" t="n"/>
    </row>
    <row r="47" ht="67.5" customHeight="1">
      <c r="A47" s="6" t="inlineStr">
        <is>
          <t>m12p</t>
        </is>
      </c>
      <c r="B47" s="6" t="inlineStr">
        <is>
          <t>11 a 12</t>
        </is>
      </c>
      <c r="C47" s="6" t="inlineStr">
        <is>
          <t>PLANTA</t>
        </is>
      </c>
      <c r="D47" s="6" t="inlineStr">
        <is>
          <t>ALIMENTOS</t>
        </is>
      </c>
      <c r="E47" s="6" t="inlineStr">
        <is>
          <t>Inventario obsoleto</t>
        </is>
      </c>
      <c r="F47" s="6" t="inlineStr">
        <is>
          <t>Cierra el año y 5% del inventario parece obsoleto antes de valorarlo.</t>
        </is>
      </c>
      <c r="G47" s="6" t="inlineStr">
        <is>
          <t>Cierra el año y 5% del inventario parece obsoleto antes de valorarlo. En una planta de alimentos hay fechas de vencimiento y no se puede esperar para saber lo que vale. (Inventario dudoso: 5% · Cierre del año: en 1 mes · Cliente: plantas de alimentos)</t>
        </is>
      </c>
      <c r="H47" s="6" t="inlineStr">
        <is>
          <t>Conteo y venta: Cuentas el stock, vendes lo recuperable y das de baja el resto.</t>
        </is>
      </c>
      <c r="I47" s="4" t="n"/>
      <c r="J47" s="4" t="n"/>
      <c r="K47" s="4" t="n"/>
      <c r="L47" s="4" t="n"/>
    </row>
    <row r="48" ht="67.5" customHeight="1">
      <c r="A48" s="6" t="inlineStr">
        <is>
          <t>m12e</t>
        </is>
      </c>
      <c r="B48" s="6" t="inlineStr">
        <is>
          <t>11 a 12</t>
        </is>
      </c>
      <c r="C48" s="6" t="inlineStr">
        <is>
          <t>ENTORNO</t>
        </is>
      </c>
      <c r="D48" s="6" t="inlineStr">
        <is>
          <t>HOSPITALES</t>
        </is>
      </c>
      <c r="E48" s="6" t="inlineStr">
        <is>
          <t>Paro de camioneros</t>
        </is>
      </c>
      <c r="F48" s="6" t="inlineStr">
        <is>
          <t>Un paro de camioneros amenaza los despachos de diciembre, 18% del año.</t>
        </is>
      </c>
      <c r="G48" s="6" t="inlineStr">
        <is>
          <t>Un paro de camioneros amenaza tus despachos de diciembre, 18% de las ventas del año. Los hospitales no pueden quedarse sin insumos justo en las fiestas. (Despachos de diciembre: 18% del año · Paro anunciado: 2 semanas · Cliente: hospitales)</t>
        </is>
      </c>
      <c r="H48" s="6" t="inlineStr">
        <is>
          <t>Adelantar despachos: Adelantas 40% de los despachos y reservas 3 transportistas alternativos.</t>
        </is>
      </c>
      <c r="I48" s="4" t="n"/>
      <c r="J48" s="4" t="n"/>
      <c r="K48" s="4" t="n"/>
      <c r="L48" s="4" t="n"/>
    </row>
    <row r="49" ht="67.5" customHeight="1">
      <c r="A49" s="6" t="inlineStr">
        <is>
          <t>m12s</t>
        </is>
      </c>
      <c r="B49" s="6" t="inlineStr">
        <is>
          <t>11 a 12</t>
        </is>
      </c>
      <c r="C49" s="6" t="inlineStr">
        <is>
          <t>ESTRATEGIA</t>
        </is>
      </c>
      <c r="D49" s="6" t="inlineStr">
        <is>
          <t>ALIMENTOS</t>
        </is>
      </c>
      <c r="E49" s="6" t="inlineStr">
        <is>
          <t>Cierre del año</t>
        </is>
      </c>
      <c r="F49" s="6" t="inlineStr">
        <is>
          <t>Falta 1 mes para cerrar y el OI está 1 punto bajo el plan.</t>
        </is>
      </c>
      <c r="G49" s="6" t="inlineStr">
        <is>
          <t>Falta un mes para cerrar el año y tu OI está 1 punto bajo el plan. Corporativo mira el cierre y hay formas de mejorar el número que no mejoran el negocio. (Mes que falta: 1 · OI bajo el plan: 1 punto · Meta de corporativo: cierre en plan)</t>
        </is>
      </c>
      <c r="H49" s="6" t="inlineStr">
        <is>
          <t>Congelar cargos: Congelas 2 cargos vacantes y pausas capacitaciones ajenas a las ventas.</t>
        </is>
      </c>
      <c r="I49" s="4" t="n"/>
      <c r="J49" s="4" t="n"/>
      <c r="K49" s="4" t="n"/>
      <c r="L49" s="4" t="n"/>
    </row>
  </sheetData>
  <autoFilter ref="A1:L49"/>
  <conditionalFormatting sqref="I2:J49">
    <cfRule type="expression" priority="1" dxfId="0">
      <formula>I2="No"</formula>
    </cfRule>
  </conditionalFormatting>
  <dataValidations count="2">
    <dataValidation sqref="I2:I49" showDropDown="0" showInputMessage="0" showErrorMessage="0" allowBlank="1" errorTitle="Valor no válido" error="Elige un valor de la lista" type="list">
      <formula1>"Sí,No,Ambiguo"</formula1>
    </dataValidation>
    <dataValidation sqref="J2:J49" showDropDown="0" showInputMessage="0" showErrorMessage="0" allowBlank="1" errorTitle="Valor no válido" error="Elige un valor de la lista" type="list">
      <formula1>"Sí,No,Ambiguo"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Resumen de la revisión</t>
        </is>
      </c>
    </row>
    <row r="3">
      <c r="A3" s="8" t="inlineStr">
        <is>
          <t>Respuestas en la ficha</t>
        </is>
      </c>
      <c r="B3" s="9">
        <f>COUNTA('Revisión'!A2:A193)</f>
        <v/>
      </c>
    </row>
    <row r="4">
      <c r="A4" s="8" t="inlineStr">
        <is>
          <t>Respuestas revisadas (realista marcado)</t>
        </is>
      </c>
      <c r="B4" s="9">
        <f>COUNTA('Revisión'!L2:L193)</f>
        <v/>
      </c>
    </row>
    <row r="5">
      <c r="A5" s="8" t="inlineStr">
        <is>
          <t>Realista: Sí</t>
        </is>
      </c>
      <c r="B5" s="9">
        <f>COUNTIF('Revisión'!L2:L193,"Sí")</f>
        <v/>
      </c>
    </row>
    <row r="6">
      <c r="A6" s="8" t="inlineStr">
        <is>
          <t>Realista: No</t>
        </is>
      </c>
      <c r="B6" s="9">
        <f>COUNTIF('Revisión'!L2:L193,"No")</f>
        <v/>
      </c>
    </row>
    <row r="7">
      <c r="A7" s="8" t="inlineStr">
        <is>
          <t>Realista: Ambiguo</t>
        </is>
      </c>
      <c r="B7" s="9">
        <f>COUNTIF('Revisión'!L2:L193,"Ambiguo")</f>
        <v/>
      </c>
    </row>
    <row r="8">
      <c r="A8" s="8" t="inlineStr">
        <is>
          <t>% realista (Sí / total)</t>
        </is>
      </c>
      <c r="B8" s="10">
        <f>IF(COUNTA('Revisión'!A2:A193)=0,0,COUNTIF('Revisión'!L2:L193,"Sí")/COUNTA('Revisión'!A2:A193))</f>
        <v/>
      </c>
    </row>
    <row r="9">
      <c r="A9" s="8" t="inlineStr">
        <is>
          <t>Líneas distintas a la del juego</t>
        </is>
      </c>
      <c r="B9" s="9">
        <f>SUMPRODUCT(('Revisión'!M2:M193&lt;&gt;"")*('Revisión'!M2:M193&lt;&gt;'Revisión'!I2:I193))</f>
        <v/>
      </c>
    </row>
    <row r="10">
      <c r="A10" s="8" t="inlineStr">
        <is>
          <t>Traducciones marcadas «No»</t>
        </is>
      </c>
      <c r="B10" s="9">
        <f>COUNTIF('Revisión'!T2:T193,"No")</f>
        <v/>
      </c>
    </row>
    <row r="11">
      <c r="A11" s="8" t="inlineStr">
        <is>
          <t>Escenas no realistas</t>
        </is>
      </c>
      <c r="B11" s="9">
        <f>COUNTIF('Problemas'!I2:I49,"No")</f>
        <v/>
      </c>
    </row>
    <row r="12">
      <c r="A12" s="8" t="inlineStr">
        <is>
          <t>Equilibradas que no son la mejor</t>
        </is>
      </c>
      <c r="B12" s="9">
        <f>COUNTIF('Problemas'!J2:J49,"No")</f>
        <v/>
      </c>
    </row>
    <row r="13">
      <c r="A13" s="8" t="inlineStr">
        <is>
          <t>Resultado</t>
        </is>
      </c>
      <c r="B13" s="9">
        <f>IF(AND(B8&gt;=0.9,B9=0),"Aprobado","Revisar")</f>
        <v/>
      </c>
    </row>
    <row r="16">
      <c r="A16" s="11" t="inlineStr">
        <is>
          <t>Realista por voz</t>
        </is>
      </c>
      <c r="B16" s="12" t="inlineStr">
        <is>
          <t>Respuestas</t>
        </is>
      </c>
      <c r="C16" s="12" t="inlineStr">
        <is>
          <t>Sí</t>
        </is>
      </c>
      <c r="D16" s="12" t="inlineStr">
        <is>
          <t>No</t>
        </is>
      </c>
      <c r="E16" s="12" t="inlineStr">
        <is>
          <t>Ambiguo</t>
        </is>
      </c>
    </row>
    <row r="17">
      <c r="A17" s="8" t="inlineStr">
        <is>
          <t>CLIENTE</t>
        </is>
      </c>
      <c r="B17">
        <f>COUNTIF('Revisión'!C2:C193,"CLIENTE")</f>
        <v/>
      </c>
      <c r="C17">
        <f>COUNTIFS('Revisión'!C2:C193,"CLIENTE",'Revisión'!L2:L193,"Sí")</f>
        <v/>
      </c>
      <c r="D17">
        <f>COUNTIFS('Revisión'!C2:C193,"CLIENTE",'Revisión'!L2:L193,"No")</f>
        <v/>
      </c>
      <c r="E17">
        <f>COUNTIFS('Revisión'!C2:C193,"CLIENTE",'Revisión'!L2:L193,"Ambiguo")</f>
        <v/>
      </c>
    </row>
    <row r="18">
      <c r="A18" s="8" t="inlineStr">
        <is>
          <t>PLANTA</t>
        </is>
      </c>
      <c r="B18">
        <f>COUNTIF('Revisión'!C2:C193,"PLANTA")</f>
        <v/>
      </c>
      <c r="C18">
        <f>COUNTIFS('Revisión'!C2:C193,"PLANTA",'Revisión'!L2:L193,"Sí")</f>
        <v/>
      </c>
      <c r="D18">
        <f>COUNTIFS('Revisión'!C2:C193,"PLANTA",'Revisión'!L2:L193,"No")</f>
        <v/>
      </c>
      <c r="E18">
        <f>COUNTIFS('Revisión'!C2:C193,"PLANTA",'Revisión'!L2:L193,"Ambiguo")</f>
        <v/>
      </c>
    </row>
    <row r="19">
      <c r="A19" s="8" t="inlineStr">
        <is>
          <t>ENTORNO</t>
        </is>
      </c>
      <c r="B19">
        <f>COUNTIF('Revisión'!C2:C193,"ENTORNO")</f>
        <v/>
      </c>
      <c r="C19">
        <f>COUNTIFS('Revisión'!C2:C193,"ENTORNO",'Revisión'!L2:L193,"Sí")</f>
        <v/>
      </c>
      <c r="D19">
        <f>COUNTIFS('Revisión'!C2:C193,"ENTORNO",'Revisión'!L2:L193,"No")</f>
        <v/>
      </c>
      <c r="E19">
        <f>COUNTIFS('Revisión'!C2:C193,"ENTORNO",'Revisión'!L2:L193,"Ambiguo")</f>
        <v/>
      </c>
    </row>
    <row r="20">
      <c r="A20" s="8" t="inlineStr">
        <is>
          <t>ESTRATEGIA</t>
        </is>
      </c>
      <c r="B20">
        <f>COUNTIF('Revisión'!C2:C193,"ESTRATEGIA")</f>
        <v/>
      </c>
      <c r="C20">
        <f>COUNTIFS('Revisión'!C2:C193,"ESTRATEGIA",'Revisión'!L2:L193,"Sí")</f>
        <v/>
      </c>
      <c r="D20">
        <f>COUNTIFS('Revisión'!C2:C193,"ESTRATEGIA",'Revisión'!L2:L193,"No")</f>
        <v/>
      </c>
      <c r="E20">
        <f>COUNTIFS('Revisión'!C2:C193,"ESTRATEGIA",'Revisión'!L2:L193,"Ambiguo")</f>
        <v/>
      </c>
    </row>
    <row r="23">
      <c r="A23" s="11" t="inlineStr">
        <is>
          <t>Realista por tipo de respuesta</t>
        </is>
      </c>
      <c r="B23" s="12" t="inlineStr">
        <is>
          <t>Respuestas</t>
        </is>
      </c>
      <c r="C23" s="12" t="inlineStr">
        <is>
          <t>Sí</t>
        </is>
      </c>
      <c r="D23" s="12" t="inlineStr">
        <is>
          <t>No</t>
        </is>
      </c>
      <c r="E23" s="12" t="inlineStr">
        <is>
          <t>Ambiguo</t>
        </is>
      </c>
    </row>
    <row r="24">
      <c r="A24" s="8" t="inlineStr">
        <is>
          <t>Equilibrada</t>
        </is>
      </c>
      <c r="B24">
        <f>COUNTIF('Revisión'!J2:J193,"Equilibrada")</f>
        <v/>
      </c>
      <c r="C24">
        <f>COUNTIFS('Revisión'!J2:J193,"Equilibrada",'Revisión'!L2:L193,"Sí")</f>
        <v/>
      </c>
      <c r="D24">
        <f>COUNTIFS('Revisión'!J2:J193,"Equilibrada",'Revisión'!L2:L193,"No")</f>
        <v/>
      </c>
      <c r="E24">
        <f>COUNTIFS('Revisión'!J2:J193,"Equilibrada",'Revisión'!L2:L193,"Ambiguo")</f>
        <v/>
      </c>
    </row>
    <row r="25">
      <c r="A25" s="8" t="inlineStr">
        <is>
          <t>Atajo</t>
        </is>
      </c>
      <c r="B25">
        <f>COUNTIF('Revisión'!J2:J193,"Atajo")</f>
        <v/>
      </c>
      <c r="C25">
        <f>COUNTIFS('Revisión'!J2:J193,"Atajo",'Revisión'!L2:L193,"Sí")</f>
        <v/>
      </c>
      <c r="D25">
        <f>COUNTIFS('Revisión'!J2:J193,"Atajo",'Revisión'!L2:L193,"No")</f>
        <v/>
      </c>
      <c r="E25">
        <f>COUNTIFS('Revisión'!J2:J193,"Atajo",'Revisión'!L2:L193,"Ambiguo")</f>
        <v/>
      </c>
    </row>
    <row r="26">
      <c r="A26" s="8" t="inlineStr">
        <is>
          <t>Ceder</t>
        </is>
      </c>
      <c r="B26">
        <f>COUNTIF('Revisión'!J2:J193,"Ceder")</f>
        <v/>
      </c>
      <c r="C26">
        <f>COUNTIFS('Revisión'!J2:J193,"Ceder",'Revisión'!L2:L193,"Sí")</f>
        <v/>
      </c>
      <c r="D26">
        <f>COUNTIFS('Revisión'!J2:J193,"Ceder",'Revisión'!L2:L193,"No")</f>
        <v/>
      </c>
      <c r="E26">
        <f>COUNTIFS('Revisión'!J2:J193,"Ceder",'Revisión'!L2:L193,"Ambiguo")</f>
        <v/>
      </c>
    </row>
    <row r="27">
      <c r="A27" s="8" t="inlineStr">
        <is>
          <t>Pasiva</t>
        </is>
      </c>
      <c r="B27">
        <f>COUNTIF('Revisión'!J2:J193,"Pasiva")</f>
        <v/>
      </c>
      <c r="C27">
        <f>COUNTIFS('Revisión'!J2:J193,"Pasiva",'Revisión'!L2:L193,"Sí")</f>
        <v/>
      </c>
      <c r="D27">
        <f>COUNTIFS('Revisión'!J2:J193,"Pasiva",'Revisión'!L2:L193,"No")</f>
        <v/>
      </c>
      <c r="E27">
        <f>COUNTIFS('Revisión'!J2:J193,"Pasiva",'Revisión'!L2:L193,"Ambiguo")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2026-10-03T10:48:52Z</dcterms:created>
  <dcterms:modified xmlns:dcterms="http://purl.org/dc/terms/" xmlns:xsi="http://www.w3.org/2001/XMLSchema-instance" xsi:type="dcterms:W3CDTF">2026-10-03T10:48:52Z</dcterms:modified>
</cp:coreProperties>
</file>